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eychinamanaged-my.sharepoint.cn/personal/ryan_xp_zhu_cn_ey_com/Documents/project management/FY26 project/FY26-Taffy/DM/"/>
    </mc:Choice>
  </mc:AlternateContent>
  <xr:revisionPtr revIDLastSave="3276" documentId="8_{604B9A46-56C4-4B81-BCD7-21FBC2723F14}" xr6:coauthVersionLast="47" xr6:coauthVersionMax="47" xr10:uidLastSave="{D3CE108B-685E-49FB-A9D1-852C944FD648}"/>
  <bookViews>
    <workbookView xWindow="-108" yWindow="-108" windowWidth="23256" windowHeight="12456" tabRatio="804" activeTab="3" xr2:uid="{00000000-000D-0000-FFFF-FFFF00000000}"/>
  </bookViews>
  <sheets>
    <sheet name="看板" sheetId="4" r:id="rId1"/>
    <sheet name="项目基础信息" sheetId="2" r:id="rId2"/>
    <sheet name="银行函证进度" sheetId="9" r:id="rId3"/>
    <sheet name="底稿进度" sheetId="1" r:id="rId4"/>
    <sheet name="OS list及缺失PBC" sheetId="3" r:id="rId5"/>
    <sheet name="OS事项分类说明" sheetId="21" r:id="rId6"/>
  </sheets>
  <externalReferences>
    <externalReference r:id="rId7"/>
  </externalReferences>
  <definedNames>
    <definedName name="\" hidden="1">{"CAPA CONSELHO(FISCAL)ACIONISTAS",#N/A,TRUE,"capa (2)";"CAPITAL 2002",#N/A,TRUE,"capital (2)";"INDICES2002",#N/A,TRUE,"índices bal (2)";"BAL(B)2002",#N/A,TRUE,"BAL B (2)";"RESULTADO 12",#N/A,TRUE,"resultado";"RESULTADO mes a mes (B)2002",#N/A,TRUE,"mês a mês (2)";"DOAR(B)2002",#N/A,TRUE,"DOAR B (2)";"MUTAÇÃO(B)2002",#N/A,TRUE,"mutação B (2)";"ESTOQUE(B)2002",#N/A,TRUE,"estoque";"PERMANENTE(B)2002",#N/A,TRUE,"permanente B (2)";"PERFIL(B)2002",#N/A,TRUE,"PERFIL B (2)";"EBTIDA 12",#N/A,TRUE,"ebitda";"FLUXO(B)2002",#N/A,TRUE,"FLUXO B (2)";"PROVISÕES2002",#N/A,TRUE,"prov-contas a receber";"CAPA CONTROLADORA",#N/A,TRUE,"capa (2)";"BAL(A)2002",#N/A,TRUE,"BAL A (2)";"RESULTADO mes a mes (A)2002",#N/A,TRUE,"mês a mês (2)";"MUTAÇÃO(A)2002",#N/A,TRUE,"mutação A (2)";"DOAR(A)2002",#N/A,TRUE,"DOAR A (2)";"ESTOQUE(A)2002",#N/A,TRUE,"estoque";"PERMANENTE(A)2002",#N/A,TRUE,"permanente A (2)"}</definedName>
    <definedName name="\gtuu" hidden="1">{#N/A,#N/A,FALSE,"TAXC.INDEX";#N/A,#N/A,FALSE,"Schedule I";#N/A,#N/A,FALSE,"Schedule  II";#N/A,#N/A,FALSE,"Schedule III"}</definedName>
    <definedName name="_" hidden="1">#N/A</definedName>
    <definedName name="______________________LF12" hidden="1">#REF!</definedName>
    <definedName name="_____________________LF12" hidden="1">#REF!</definedName>
    <definedName name="____________________LF12" hidden="1">#REF!</definedName>
    <definedName name="___________________LF12" hidden="1">#REF!</definedName>
    <definedName name="__________________LF12" hidden="1">#REF!</definedName>
    <definedName name="_________________LF12" hidden="1">#REF!</definedName>
    <definedName name="________________LF12" hidden="1">#REF!</definedName>
    <definedName name="_______________LF12" hidden="1">#REF!</definedName>
    <definedName name="______________LF12" hidden="1">#REF!</definedName>
    <definedName name="_____________LF12" hidden="1">#REF!</definedName>
    <definedName name="____________LF12" hidden="1">#REF!</definedName>
    <definedName name="___________LF12" hidden="1">#REF!</definedName>
    <definedName name="__________IS04" hidden="1">{"M1Print",#N/A,FALSE,"M1"}</definedName>
    <definedName name="__________key2" hidden="1">#REF!</definedName>
    <definedName name="__________LF12" hidden="1">#REF!</definedName>
    <definedName name="_________IS04" hidden="1">{"M1Print",#N/A,FALSE,"M1"}</definedName>
    <definedName name="_________key2" hidden="1">#REF!</definedName>
    <definedName name="_________LF12" hidden="1">#REF!</definedName>
    <definedName name="________IS04" hidden="1">{"M1Print",#N/A,FALSE,"M1"}</definedName>
    <definedName name="________key2" hidden="1">#REF!</definedName>
    <definedName name="________LF12" hidden="1">#REF!</definedName>
    <definedName name="_______IS04" hidden="1">{"M1Print",#N/A,FALSE,"M1"}</definedName>
    <definedName name="_______key2" hidden="1">#REF!</definedName>
    <definedName name="_______LF12" hidden="1">#REF!</definedName>
    <definedName name="______IS04" hidden="1">{"M1Print",#N/A,FALSE,"M1"}</definedName>
    <definedName name="______key2" hidden="1">#REF!</definedName>
    <definedName name="______LF12" hidden="1">#REF!</definedName>
    <definedName name="_____dod1" hidden="1">{#N/A,#N/A,TRUE,"CPRD";#N/A,#N/A,TRUE,"BCCPDR";#N/A,#N/A,TRUE,"EWRD";#N/A,#N/A,TRUE,"5100";#N/A,#N/A,TRUE,"5110"}</definedName>
    <definedName name="_____IS04" hidden="1">{"M1Print",#N/A,FALSE,"M1"}</definedName>
    <definedName name="_____key2" hidden="1">#REF!</definedName>
    <definedName name="_____LF12" hidden="1">#REF!</definedName>
    <definedName name="_____O1" hidden="1">{#N/A,#N/A,FALSE,"970301";#N/A,#N/A,FALSE,"970302";#N/A,#N/A,FALSE,"970303";#N/A,#N/A,FALSE,"970304";#N/A,#N/A,FALSE,"COM1";#N/A,#N/A,FALSE,"COM2"}</definedName>
    <definedName name="_____TBC95" hidden="1">{#N/A,#N/A,FALSE,"Co_BalSht";#N/A,#N/A,FALSE,"Co_IncStmt";#N/A,#N/A,FALSE,"Cons_BalSht";#N/A,#N/A,FALSE,"Cons_IncStmt";#N/A,#N/A,FALSE,"Cashflow"}</definedName>
    <definedName name="____dod1" hidden="1">{#N/A,#N/A,TRUE,"CPRD";#N/A,#N/A,TRUE,"BCCPDR";#N/A,#N/A,TRUE,"EWRD";#N/A,#N/A,TRUE,"5100";#N/A,#N/A,TRUE,"5110"}</definedName>
    <definedName name="____IS04" hidden="1">{"M1Print",#N/A,FALSE,"M1"}</definedName>
    <definedName name="____key1" hidden="1">#REF!</definedName>
    <definedName name="____key2" hidden="1">#REF!</definedName>
    <definedName name="____LF12" hidden="1">#REF!</definedName>
    <definedName name="____O1" hidden="1">{#N/A,#N/A,FALSE,"970301";#N/A,#N/A,FALSE,"970302";#N/A,#N/A,FALSE,"970303";#N/A,#N/A,FALSE,"970304";#N/A,#N/A,FALSE,"COM1";#N/A,#N/A,FALSE,"COM2"}</definedName>
    <definedName name="____TBC95" hidden="1">{#N/A,#N/A,FALSE,"Co_BalSht";#N/A,#N/A,FALSE,"Co_IncStmt";#N/A,#N/A,FALSE,"Cons_BalSht";#N/A,#N/A,FALSE,"Cons_IncStmt";#N/A,#N/A,FALSE,"Cashflow"}</definedName>
    <definedName name="___A100" hidden="1">{#N/A,#N/A,FALSE,"DIR-REP";#N/A,#N/A,FALSE,"AUD-REPORT";#N/A,#N/A,FALSE,"P7L&amp;BS";#N/A,#N/A,FALSE,"NOTES";#N/A,#N/A,FALSE,"FA";#N/A,#N/A,FALSE,"NOTES (2)";#N/A,#N/A,FALSE,"Schedule  IV";#N/A,#N/A,FALSE,"Schedule V"}</definedName>
    <definedName name="___A1001" hidden="1">{#N/A,#N/A,FALSE,"DIR-REP";#N/A,#N/A,FALSE,"AUD-REPORT";#N/A,#N/A,FALSE,"P7L&amp;BS";#N/A,#N/A,FALSE,"NOTES";#N/A,#N/A,FALSE,"FA";#N/A,#N/A,FALSE,"NOTES (2)";#N/A,#N/A,FALSE,"Schedule  IV";#N/A,#N/A,FALSE,"Schedule V"}</definedName>
    <definedName name="___ad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_AG4" hidden="1">{#N/A,#N/A,FALSE,"TAXC.INDEX";#N/A,#N/A,FALSE,"Schedule I";#N/A,#N/A,FALSE,"Schedule  II";#N/A,#N/A,FALSE,"Schedule III"}</definedName>
    <definedName name="___C20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df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df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_dod1" hidden="1">{#N/A,#N/A,TRUE,"CPRD";#N/A,#N/A,TRUE,"BCCPDR";#N/A,#N/A,TRUE,"EWRD";#N/A,#N/A,TRUE,"5100";#N/A,#N/A,TRUE,"5110"}</definedName>
    <definedName name="___dog1" hidden="1">{#N/A,#N/A,TRUE,"CPRD";#N/A,#N/A,TRUE,"BCCPDR";#N/A,#N/A,TRUE,"EWRD";#N/A,#N/A,TRUE,"5100";#N/A,#N/A,TRUE,"5110"}</definedName>
    <definedName name="___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110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e1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1300" hidden="1">{#N/A,#N/A,FALSE,"DIR-REP";#N/A,#N/A,FALSE,"AUD-REPORT";#N/A,#N/A,FALSE,"P7L&amp;BS";#N/A,#N/A,FALSE,"NOTES";#N/A,#N/A,FALSE,"FA";#N/A,#N/A,FALSE,"NOTES (2)";#N/A,#N/A,FALSE,"Schedule  IV";#N/A,#N/A,FALSE,"Schedule V"}</definedName>
    <definedName name="___E35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500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_ED1" hidden="1">{#N/A,#N/A,FALSE,"Lestrem";#N/A,#N/A,FALSE,"Beinheim";#N/A,#N/A,FALSE,"Vecquemont";#N/A,#N/A,FALSE,"Lestrem+beinheim";#N/A,#N/A,FALSE,"Activite Amidon Usines";#N/A,#N/A,FALSE,"couts mat Rf";#N/A,#N/A,FALSE,"PDT Vecq."}</definedName>
    <definedName name="___ES1" hidden="1">{#N/A,#N/A,FALSE,"Lestrem";#N/A,#N/A,FALSE,"Beinheim";#N/A,#N/A,FALSE,"Vecquemont";#N/A,#N/A,FALSE,"Lestrem+beinheim";#N/A,#N/A,FALSE,"Activite Amidon Usines";#N/A,#N/A,FALSE,"couts mat Rf";#N/A,#N/A,FALSE,"PDT Vecq."}</definedName>
    <definedName name="___IS04" hidden="1">{"M1Print",#N/A,FALSE,"M1"}</definedName>
    <definedName name="___k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_key1" hidden="1">#REF!</definedName>
    <definedName name="___key2" hidden="1">#REF!</definedName>
    <definedName name="___key3" hidden="1">#REF!</definedName>
    <definedName name="___LF12" hidden="1">#REF!</definedName>
    <definedName name="___O1" hidden="1">{#N/A,#N/A,FALSE,"970301";#N/A,#N/A,FALSE,"970302";#N/A,#N/A,FALSE,"970303";#N/A,#N/A,FALSE,"970304";#N/A,#N/A,FALSE,"COM1";#N/A,#N/A,FALSE,"COM2"}</definedName>
    <definedName name="___oo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_P60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___qq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_TBC95" hidden="1">{#N/A,#N/A,FALSE,"Co_BalSht";#N/A,#N/A,FALSE,"Co_IncStmt";#N/A,#N/A,FALSE,"Cons_BalSht";#N/A,#N/A,FALSE,"Cons_IncStmt";#N/A,#N/A,FALSE,"Cashflow"}</definedName>
    <definedName name="___vin1" hidden="1">#REF!</definedName>
    <definedName name="___w1" hidden="1">{#N/A,#N/A,FALSE,"DIR-REP";#N/A,#N/A,FALSE,"AUD-REPORT";#N/A,#N/A,FALSE,"P7L&amp;BS";#N/A,#N/A,FALSE,"NOTES";#N/A,#N/A,FALSE,"FA";#N/A,#N/A,FALSE,"NOTES (2)";#N/A,#N/A,FALSE,"Schedule  IV";#N/A,#N/A,FALSE,"Schedule V"}</definedName>
    <definedName name="___w4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123Graph_A" hidden="1">#REF!</definedName>
    <definedName name="__123Graph_AACTUAL" hidden="1">#REF!</definedName>
    <definedName name="__123Graph_ACASHFLOW" hidden="1">#N/A</definedName>
    <definedName name="__123Graph_ACF100" hidden="1">#REF!</definedName>
    <definedName name="__123Graph_ACURRENT" hidden="1">#REF!</definedName>
    <definedName name="__123Graph_ADRIVER2" hidden="1">#N/A</definedName>
    <definedName name="__123Graph_AGraph1" hidden="1">#REF!</definedName>
    <definedName name="__123Graph_AGRßF1" hidden="1">#REF!</definedName>
    <definedName name="__123Graph_AINCOME1" hidden="1">#N/A</definedName>
    <definedName name="__123Graph_AINCOME2" hidden="1">#N/A</definedName>
    <definedName name="__123Graph_AJAYME" hidden="1">#REF!</definedName>
    <definedName name="__123Graph_ALAB0696" hidden="1">#REF!</definedName>
    <definedName name="__123Graph_ALAB07" hidden="1">#REF!</definedName>
    <definedName name="__123Graph_ASIDECO" hidden="1">#REF!</definedName>
    <definedName name="__123Graph_B" hidden="1">#REF!</definedName>
    <definedName name="__123Graph_BACTUAL" hidden="1">#REF!</definedName>
    <definedName name="__123Graph_BCASHFLOW" hidden="1">#N/A</definedName>
    <definedName name="__123Graph_BCF100" hidden="1">#REF!</definedName>
    <definedName name="__123Graph_BDRIVER2" hidden="1">#N/A</definedName>
    <definedName name="__123Graph_BGraph1" hidden="1">#REF!</definedName>
    <definedName name="__123Graph_BGRßF1" hidden="1">#REF!</definedName>
    <definedName name="__123Graph_BINCOME1" hidden="1">#N/A</definedName>
    <definedName name="__123Graph_BINCOME2" hidden="1">#N/A</definedName>
    <definedName name="__123Graph_BJAYME" hidden="1">#REF!</definedName>
    <definedName name="__123Graph_BLAB07" hidden="1">#REF!</definedName>
    <definedName name="__123Graph_BSIDECO" hidden="1">#REF!</definedName>
    <definedName name="__123Graph_C" hidden="1">#REF!</definedName>
    <definedName name="__123Graph_CACTUAL" hidden="1">#REF!</definedName>
    <definedName name="__123Graph_CActuel" hidden="1">#REF!</definedName>
    <definedName name="__123Graph_CCURRENT" hidden="1">#REF!</definedName>
    <definedName name="__123Graph_CGraph1" hidden="1">#REF!</definedName>
    <definedName name="__123Graph_CGRßF1" hidden="1">#REF!</definedName>
    <definedName name="__123Graph_CJAYME" hidden="1">#REF!</definedName>
    <definedName name="__123Graph_CSIDECO" hidden="1">#REF!</definedName>
    <definedName name="__123Graph_D" hidden="1">#REF!</definedName>
    <definedName name="__123Graph_DACTUAL" hidden="1">#REF!</definedName>
    <definedName name="__123Graph_DCURRENT" hidden="1">#REF!</definedName>
    <definedName name="__123Graph_DGraph1" hidden="1">#REF!</definedName>
    <definedName name="__123Graph_DGRßF1" hidden="1">#REF!</definedName>
    <definedName name="__123Graph_E" hidden="1">#REF!</definedName>
    <definedName name="__123Graph_EACTUAL" hidden="1">#REF!</definedName>
    <definedName name="__123Graph_ECURRENT" hidden="1">#REF!</definedName>
    <definedName name="__123Graph_EGraph1" hidden="1">#REF!</definedName>
    <definedName name="__123Graph_EGRßF1" hidden="1">#REF!</definedName>
    <definedName name="__123Graph_F" hidden="1">#REF!</definedName>
    <definedName name="__123Graph_FACTUAL" hidden="1">#REF!</definedName>
    <definedName name="__123Graph_FCURRENT" hidden="1">#REF!</definedName>
    <definedName name="__123Graph_FGRßF1" hidden="1">#REF!</definedName>
    <definedName name="__123Graph_LBL_A" hidden="1">#REF!</definedName>
    <definedName name="__123Graph_LBL_ACF100" hidden="1">#REF!</definedName>
    <definedName name="__123Graph_LBL_BCF100" hidden="1">#REF!</definedName>
    <definedName name="__123Graph_LBL_C" hidden="1">#REF!</definedName>
    <definedName name="__123Graph_X" hidden="1">#REF!</definedName>
    <definedName name="__123Graph_XACTUAL" hidden="1">#REF!</definedName>
    <definedName name="__123Graph_XCASHFLOW" hidden="1">#N/A</definedName>
    <definedName name="__123Graph_XCF100" hidden="1">#REF!</definedName>
    <definedName name="__123Graph_XDRIVER2" hidden="1">#N/A</definedName>
    <definedName name="__123Graph_XGraph1" hidden="1">#REF!</definedName>
    <definedName name="__123Graph_XGRßF1" hidden="1">#REF!</definedName>
    <definedName name="__123Graph_XINCOME1" hidden="1">#N/A</definedName>
    <definedName name="__123Graph_XINCOME2" hidden="1">#N/A</definedName>
    <definedName name="__123Graph_XJAYME" hidden="1">#REF!</definedName>
    <definedName name="__123Graph_XLAB0696" hidden="1">#REF!</definedName>
    <definedName name="__123Graph_XLAB07" hidden="1">#REF!</definedName>
    <definedName name="__123Graph_XSIDECO" hidden="1">#REF!</definedName>
    <definedName name="__123GraphB1" hidden="1">#REF!</definedName>
    <definedName name="__A100" hidden="1">{#N/A,#N/A,FALSE,"Ocean";#N/A,#N/A,FALSE,"NewYork";#N/A,#N/A,FALSE,"Gateway";#N/A,#N/A,FALSE,"GVH";#N/A,#N/A,FALSE,"GVM";#N/A,#N/A,FALSE,"GVT"}</definedName>
    <definedName name="__A1001" hidden="1">{#N/A,#N/A,FALSE,"DIR-REP";#N/A,#N/A,FALSE,"AUD-REPORT";#N/A,#N/A,FALSE,"P7L&amp;BS";#N/A,#N/A,FALSE,"NOTES";#N/A,#N/A,FALSE,"FA";#N/A,#N/A,FALSE,"NOTES (2)";#N/A,#N/A,FALSE,"Schedule  IV";#N/A,#N/A,FALSE,"Schedule V"}</definedName>
    <definedName name="__ad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AG4" hidden="1">{#N/A,#N/A,FALSE,"TAXC.INDEX";#N/A,#N/A,FALSE,"Schedule I";#N/A,#N/A,FALSE,"Schedule  II";#N/A,#N/A,FALSE,"Schedule III"}</definedName>
    <definedName name="__B201" hidden="1">{#N/A,#N/A,FALSE,"Ocean";#N/A,#N/A,FALSE,"NewYork";#N/A,#N/A,FALSE,"Gateway";#N/A,#N/A,FALSE,"GVH";#N/A,#N/A,FALSE,"GVM";#N/A,#N/A,FALSE,"GVT"}</definedName>
    <definedName name="__C20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df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df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dod1" hidden="1">{#N/A,#N/A,TRUE,"CPRD";#N/A,#N/A,TRUE,"BCCPDR";#N/A,#N/A,TRUE,"EWRD";#N/A,#N/A,TRUE,"5100";#N/A,#N/A,TRUE,"5110"}</definedName>
    <definedName name="__dog1" hidden="1">{#N/A,#N/A,TRUE,"CPRD";#N/A,#N/A,TRUE,"BCCPDR";#N/A,#N/A,TRUE,"EWRD";#N/A,#N/A,TRUE,"5100";#N/A,#N/A,TRUE,"5110"}</definedName>
    <definedName name="__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110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e1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1300" hidden="1">{#N/A,#N/A,FALSE,"DIR-REP";#N/A,#N/A,FALSE,"AUD-REPORT";#N/A,#N/A,FALSE,"P7L&amp;BS";#N/A,#N/A,FALSE,"NOTES";#N/A,#N/A,FALSE,"FA";#N/A,#N/A,FALSE,"NOTES (2)";#N/A,#N/A,FALSE,"Schedule  IV";#N/A,#N/A,FALSE,"Schedule V"}</definedName>
    <definedName name="__E35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E46" hidden="1">{#N/A,#N/A,FALSE,"P";#N/A,#N/A,FALSE,"Material";#N/A,#N/A,FALSE,"kalk-Kosten";#N/A,#N/A,FALSE,"Personal";#N/A,#N/A,FALSE,"Gemeinkosten-Gesamt";#N/A,#N/A,FALSE,"VV-Sonstiges";#N/A,#N/A,FALSE,"Entwicklung und Projektierung";#N/A,#N/A,FALSE,"Umlaufvermögen";#N/A,#N/A,FALSE,"start-up";#N/A,#N/A,FALSE,"invest";#N/A,#N/A,FALSE,"Prämissen";#N/A,#N/A,FALSE,"QAF";#N/A,#N/A,FALSE,"Kalkulation";#N/A,#N/A,FALSE,"Überleitung"}</definedName>
    <definedName name="__E500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_FDS_HYPERLINK_TOGGLE_STATE__" hidden="1">"ON"</definedName>
    <definedName name="__IntlFixup" hidden="1">TRUE</definedName>
    <definedName name="__IS04" hidden="1">{"M1Print",#N/A,FALSE,"M1"}</definedName>
    <definedName name="__jun03" hidden="1">{#N/A,#N/A,FALSE,"Aging Summary";#N/A,#N/A,FALSE,"Ratio Analysis";#N/A,#N/A,FALSE,"Test 120 Day Accts";#N/A,#N/A,FALSE,"Tickmarks"}</definedName>
    <definedName name="__k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key1" hidden="1">#REF!</definedName>
    <definedName name="__key2" hidden="1">#REF!</definedName>
    <definedName name="__key3" hidden="1">#REF!</definedName>
    <definedName name="__klf1" hidden="1">{#N/A,#N/A,FALSE,"wip"}</definedName>
    <definedName name="__klf2" hidden="1">{#N/A,#N/A,FALSE,"wip"}</definedName>
    <definedName name="__klf3" hidden="1">{#N/A,#N/A,FALSE,"wip"}</definedName>
    <definedName name="__klf4" hidden="1">{#N/A,#N/A,FALSE,"wip"}</definedName>
    <definedName name="__klf5" hidden="1">{#N/A,#N/A,FALSE,"wip"}</definedName>
    <definedName name="__klf6" hidden="1">{#N/A,#N/A,FALSE,"wip"}</definedName>
    <definedName name="__klf7" hidden="1">{#N/A,#N/A,FALSE,"wip"}</definedName>
    <definedName name="__LF12" hidden="1">#REF!</definedName>
    <definedName name="__O1" hidden="1">{#N/A,#N/A,FALSE,"970301";#N/A,#N/A,FALSE,"970302";#N/A,#N/A,FALSE,"970303";#N/A,#N/A,FALSE,"970304";#N/A,#N/A,FALSE,"COM1";#N/A,#N/A,FALSE,"COM2"}</definedName>
    <definedName name="__O100" hidden="1">{#N/A,#N/A,FALSE,"970301";#N/A,#N/A,FALSE,"970302";#N/A,#N/A,FALSE,"970303";#N/A,#N/A,FALSE,"970304";#N/A,#N/A,FALSE,"COM1";#N/A,#N/A,FALSE,"COM2"}</definedName>
    <definedName name="__O300" hidden="1">{#N/A,#N/A,FALSE,"970301";#N/A,#N/A,FALSE,"970302";#N/A,#N/A,FALSE,"970303";#N/A,#N/A,FALSE,"970304";#N/A,#N/A,FALSE,"COM1";#N/A,#N/A,FALSE,"COM2"}</definedName>
    <definedName name="__ok4" hidden="1">#REF!</definedName>
    <definedName name="__ok5" hidden="1">#REF!</definedName>
    <definedName name="__oo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_P1" hidden="1">#REF!</definedName>
    <definedName name="__P60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__qq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_TBC95" hidden="1">{#N/A,#N/A,FALSE,"Co_BalSht";#N/A,#N/A,FALSE,"Co_IncStmt";#N/A,#N/A,FALSE,"Cons_BalSht";#N/A,#N/A,FALSE,"Cons_IncStmt";#N/A,#N/A,FALSE,"Cashflow"}</definedName>
    <definedName name="__vin1" hidden="1">#REF!</definedName>
    <definedName name="__w4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1_0__123Grap" hidden="1">#REF!</definedName>
    <definedName name="_1_123Grap" hidden="1">#REF!</definedName>
    <definedName name="_10____123Graph_BCASH_FLOW1" hidden="1">#REF!</definedName>
    <definedName name="_10__123Graph_XCHART_2" hidden="1">#REF!</definedName>
    <definedName name="_11____123Graph_LBL_ACASH_FLOW1" hidden="1">#REF!</definedName>
    <definedName name="_11____wrn.²Ä1­Ó¤ë1_Ü20¤H." hidden="1">{#N/A,#N/A,FALSE,"²Ä1­Ó¤ë"}</definedName>
    <definedName name="_12____123Graph_LBL_BCASH_FLOW1" hidden="1">#REF!</definedName>
    <definedName name="_12_wrn.²Ä1­Ó¤ë1_Ü20¤H." hidden="1">{#N/A,#N/A,FALSE,"²Ä1­Ó¤ë"}</definedName>
    <definedName name="_13____123Graph_XCHART_1" hidden="1">#REF!</definedName>
    <definedName name="_14____123Graph_XCHART_2" hidden="1">#REF!</definedName>
    <definedName name="_15___123Graph_ACASH_FLOW1" hidden="1">#REF!</definedName>
    <definedName name="_16___123Graph_ACHART_1" hidden="1">#REF!</definedName>
    <definedName name="_17___123Graph_ACHART_2" hidden="1">#REF!</definedName>
    <definedName name="_173__123Graph_ACHART_1" hidden="1">#REF!</definedName>
    <definedName name="_174__123Graph_ACHART_2" hidden="1">#REF!</definedName>
    <definedName name="_175__123Graph_ACHART_3" hidden="1">#REF!</definedName>
    <definedName name="_176__123Graph_ACHART_4" hidden="1">#REF!</definedName>
    <definedName name="_177__123Graph_ACHART_5" hidden="1">#REF!</definedName>
    <definedName name="_178__123Graph_ACHART_6" hidden="1">#REF!</definedName>
    <definedName name="_179__123Graph_ACHART_7" hidden="1">#REF!</definedName>
    <definedName name="_18___123Graph_BCASH_FLOW1" hidden="1">#REF!</definedName>
    <definedName name="_180__123Graph_ACHART_8" hidden="1">#REF!</definedName>
    <definedName name="_181__123Graph_BCHART_1" hidden="1">#REF!</definedName>
    <definedName name="_182__123Graph_BCHART_2" hidden="1">#REF!</definedName>
    <definedName name="_183__123Graph_BCHART_3" hidden="1">#REF!</definedName>
    <definedName name="_184__123Graph_BCHART_4" hidden="1">#REF!</definedName>
    <definedName name="_185__123Graph_BCHART_5" hidden="1">#REF!</definedName>
    <definedName name="_186__123Graph_BCHART_6" hidden="1">#REF!</definedName>
    <definedName name="_187__123Graph_BCHART_7" hidden="1">#REF!</definedName>
    <definedName name="_188__123Graph_BCHART_8" hidden="1">#REF!</definedName>
    <definedName name="_189__123Graph_CCHART_1" hidden="1">#REF!</definedName>
    <definedName name="_19___123Graph_LBL_ACASH_FLOW1" hidden="1">#REF!</definedName>
    <definedName name="_190__123Graph_DCHART_1" hidden="1">#REF!</definedName>
    <definedName name="_191__123Graph_ECHART_1" hidden="1">#REF!</definedName>
    <definedName name="_192__123Graph_FCHART_1" hidden="1">#REF!</definedName>
    <definedName name="_193__123Graph_XCHART_3" hidden="1">#REF!</definedName>
    <definedName name="_194__123Graph_XCHART_6" hidden="1">#REF!</definedName>
    <definedName name="_195__123Graph_XCHART_7" hidden="1">#REF!</definedName>
    <definedName name="_196__123Graph_XCHART_8" hidden="1">#REF!</definedName>
    <definedName name="_2_0__123Grap" hidden="1">#REF!</definedName>
    <definedName name="_20___123Graph_LBL_BCASH_FLOW1" hidden="1">#REF!</definedName>
    <definedName name="_21___123Graph_XCHART_1" hidden="1">#REF!</definedName>
    <definedName name="_22___123Graph_XCHART_2" hidden="1">#REF!</definedName>
    <definedName name="_24__123Graph_ACASH_FLOW1" hidden="1">#REF!</definedName>
    <definedName name="_25__123Graph_ACHART_1" hidden="1">#REF!</definedName>
    <definedName name="_26__123Graph_ACHART_2" hidden="1">#REF!</definedName>
    <definedName name="_27__123Graph_BCASH_FLOW1" hidden="1">#REF!</definedName>
    <definedName name="_28__123Graph_LBL_ACASH_FLOW1" hidden="1">#REF!</definedName>
    <definedName name="_29__123Graph_LBL_BCASH_FLOW1" hidden="1">#REF!</definedName>
    <definedName name="_3_?" hidden="1">{"M1sPrint",#N/A,FALSE,"M1s"}</definedName>
    <definedName name="_3_______wrn.²Ä1­Ó¤ë1_Ü20¤H." hidden="1">{#N/A,#N/A,FALSE,"²Ä1­Ó¤ë"}</definedName>
    <definedName name="_3__123Graph_ACASH_FLOW1" hidden="1">#REF!</definedName>
    <definedName name="_3_0__123Grap" hidden="1">#REF!</definedName>
    <definedName name="_30__123Graph_XCHART_1" hidden="1">#REF!</definedName>
    <definedName name="_31__123Graph_XCHART_2" hidden="1">#REF!</definedName>
    <definedName name="_3œ____123Grap" hidden="1">#REF!</definedName>
    <definedName name="_4__123Graph_ACHART_1" hidden="1">#REF!</definedName>
    <definedName name="_4_0__123Grap" hidden="1">#REF!</definedName>
    <definedName name="_4œ_0__123Grap" hidden="1">#REF!</definedName>
    <definedName name="_5__123Graph_ACHART_2" hidden="1">#REF!</definedName>
    <definedName name="_6______wrn.²Ä1­Ó¤ë1_Ü20¤H." hidden="1">{#N/A,#N/A,FALSE,"²Ä1­Ó¤ë"}</definedName>
    <definedName name="_6__123Graph_BCASH_FLOW1" hidden="1">#REF!</definedName>
    <definedName name="_7____123Graph_ACASH_FLOW1" hidden="1">#REF!</definedName>
    <definedName name="_7__123Graph_LBL_ACASH_FLOW1" hidden="1">#REF!</definedName>
    <definedName name="_7œ_0__123Grap" hidden="1">#REF!</definedName>
    <definedName name="_8____123Graph_ACHART_1" hidden="1">#REF!</definedName>
    <definedName name="_8__123Graph_LBL_BCASH_FLOW1" hidden="1">#REF!</definedName>
    <definedName name="_8œ_0__123Grap" hidden="1">#REF!</definedName>
    <definedName name="_8wrn.²Ä1­Ó¤ë1_Ü20¤H." hidden="1">{#N/A,#N/A,FALSE,"²Ä1­Ó¤ë"}</definedName>
    <definedName name="_9____123Graph_ACHART_2" hidden="1">#REF!</definedName>
    <definedName name="_9__123Graph_XCHART_1" hidden="1">#REF!</definedName>
    <definedName name="_96.12.30">#REF!</definedName>
    <definedName name="_A100" hidden="1">{#N/A,#N/A,FALSE,"Ocean";#N/A,#N/A,FALSE,"NewYork";#N/A,#N/A,FALSE,"Gateway";#N/A,#N/A,FALSE,"GVH";#N/A,#N/A,FALSE,"GVM";#N/A,#N/A,FALSE,"GVT"}</definedName>
    <definedName name="_A1001" hidden="1">{#N/A,#N/A,FALSE,"DIR-REP";#N/A,#N/A,FALSE,"AUD-REPORT";#N/A,#N/A,FALSE,"P7L&amp;BS";#N/A,#N/A,FALSE,"NOTES";#N/A,#N/A,FALSE,"FA";#N/A,#N/A,FALSE,"NOTES (2)";#N/A,#N/A,FALSE,"Schedule  IV";#N/A,#N/A,FALSE,"Schedule V"}</definedName>
    <definedName name="_ad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AG4" hidden="1">{#N/A,#N/A,FALSE,"TAXC.INDEX";#N/A,#N/A,FALSE,"Schedule I";#N/A,#N/A,FALSE,"Schedule  II";#N/A,#N/A,FALSE,"Schedule III"}</definedName>
    <definedName name="_B201" hidden="1">{#N/A,#N/A,FALSE,"Ocean";#N/A,#N/A,FALSE,"NewYork";#N/A,#N/A,FALSE,"Gateway";#N/A,#N/A,FALSE,"GVH";#N/A,#N/A,FALSE,"GVM";#N/A,#N/A,FALSE,"GVT"}</definedName>
    <definedName name="_bdm.FastTrackBookmark.3_28_2005_11_06_47_AM.edm" hidden="1">#REF!</definedName>
    <definedName name="_bdm.FastTrackBookmark.3_28_2005_11_06_51_AM.edm" hidden="1">#REF!</definedName>
    <definedName name="_bdm.FastTrackBookmark.3_28_2005_11_17_30_AM.edm" hidden="1">#REF!</definedName>
    <definedName name="_bdm.FastTrackBookmark.3_28_2005_11_17_35_AM.edm" hidden="1">#REF!</definedName>
    <definedName name="_BQ4.1" hidden="1">#REF!</definedName>
    <definedName name="_BQ4.2" hidden="1">#REF!</definedName>
    <definedName name="_BQ4.3" hidden="1">#REF!</definedName>
    <definedName name="_BQ4.4" hidden="1">#REF!</definedName>
    <definedName name="_BQ4.5" hidden="1">#REF!</definedName>
    <definedName name="_BQ4.6" hidden="1">#REF!</definedName>
    <definedName name="_BQ4.7" hidden="1">#REF!</definedName>
    <definedName name="_BQ4.8" hidden="1">#REF!</definedName>
    <definedName name="_BQ4.9" hidden="1">#REF!</definedName>
    <definedName name="_C201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df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df2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Dist_Bin" hidden="1">#REF!</definedName>
    <definedName name="_Dist_Values" hidden="1">#REF!</definedName>
    <definedName name="_dod1" hidden="1">{#N/A,#N/A,TRUE,"CPRD";#N/A,#N/A,TRUE,"BCCPDR";#N/A,#N/A,TRUE,"EWRD";#N/A,#N/A,TRUE,"5100";#N/A,#N/A,TRUE,"5110"}</definedName>
    <definedName name="_dog1" hidden="1">{#N/A,#N/A,TRUE,"CPRD";#N/A,#N/A,TRUE,"BCCPDR";#N/A,#N/A,TRUE,"EWRD";#N/A,#N/A,TRUE,"5100";#N/A,#N/A,TRUE,"5110"}</definedName>
    <definedName name="_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1100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e12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1300" hidden="1">{#N/A,#N/A,FALSE,"DIR-REP";#N/A,#N/A,FALSE,"AUD-REPORT";#N/A,#N/A,FALSE,"P7L&amp;BS";#N/A,#N/A,FALSE,"NOTES";#N/A,#N/A,FALSE,"FA";#N/A,#N/A,FALSE,"NOTES (2)";#N/A,#N/A,FALSE,"Schedule  IV";#N/A,#N/A,FALSE,"Schedule V"}</definedName>
    <definedName name="_E350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46" hidden="1">{#N/A,#N/A,FALSE,"P";#N/A,#N/A,FALSE,"Material";#N/A,#N/A,FALSE,"kalk-Kosten";#N/A,#N/A,FALSE,"Personal";#N/A,#N/A,FALSE,"Gemeinkosten-Gesamt";#N/A,#N/A,FALSE,"VV-Sonstiges";#N/A,#N/A,FALSE,"Entwicklung und Projektierung";#N/A,#N/A,FALSE,"Umlaufvermögen";#N/A,#N/A,FALSE,"start-up";#N/A,#N/A,FALSE,"invest";#N/A,#N/A,FALSE,"Prämissen";#N/A,#N/A,FALSE,"QAF";#N/A,#N/A,FALSE,"Kalkulation";#N/A,#N/A,FALSE,"Überleitung"}</definedName>
    <definedName name="_E500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_ED1" hidden="1">{#N/A,#N/A,FALSE,"Lestrem";#N/A,#N/A,FALSE,"Beinheim";#N/A,#N/A,FALSE,"Vecquemont";#N/A,#N/A,FALSE,"Lestrem+beinheim";#N/A,#N/A,FALSE,"Activite Amidon Usines";#N/A,#N/A,FALSE,"couts mat Rf";#N/A,#N/A,FALSE,"PDT Vecq."}</definedName>
    <definedName name="_ES1" hidden="1">{#N/A,#N/A,FALSE,"Lestrem";#N/A,#N/A,FALSE,"Beinheim";#N/A,#N/A,FALSE,"Vecquemont";#N/A,#N/A,FALSE,"Lestrem+beinheim";#N/A,#N/A,FALSE,"Activite Amidon Usines";#N/A,#N/A,FALSE,"couts mat Rf";#N/A,#N/A,FALSE,"PDT Vecq."}</definedName>
    <definedName name="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Fill" hidden="1">#REF!</definedName>
    <definedName name="_Fill2" hidden="1">#REF!</definedName>
    <definedName name="_xlnm._FilterDatabase" localSheetId="3" hidden="1">底稿进度!$A$2:$X$241</definedName>
    <definedName name="_xlnm._FilterDatabase" localSheetId="2" hidden="1">银行函证进度!$B$2:$S$11</definedName>
    <definedName name="_xlnm._FilterDatabase" hidden="1">#REF!</definedName>
    <definedName name="_IS04" hidden="1">{"M1Print",#N/A,FALSE,"M1"}</definedName>
    <definedName name="_J3" hidden="1">{"CAPA CONSELHO(FISCAL)ACIONISTAS",#N/A,TRUE,"capa (2)";"CAPITAL 2002",#N/A,TRUE,"capital (2)";"INDICES2002",#N/A,TRUE,"índices bal (2)";"BAL(B)2002",#N/A,TRUE,"BAL B (2)";"RESULTADO 08",#N/A,TRUE,"resultado";"RESULTADO mes a mes (B)2002",#N/A,TRUE,"mês a mês (2)";"DOAR(B)2002",#N/A,TRUE,"DOAR B (2)";"MUTAÇÃO(B)2002",#N/A,TRUE,"mutação B (2)";"ESTOQUE(B)2002",#N/A,TRUE,"estoque";"PERMANENTE(B)2002",#N/A,TRUE,"permanente B (2)";"PERFIL(B)2002",#N/A,TRUE,"PERFIL B (2)";"EBITDA 08",#N/A,TRUE,"ebitda";"FLUXO(B)2002",#N/A,TRUE,"FLUXO B (2)";"PROVISÕES2002",#N/A,TRUE,"prov-contas a receber";"CAPA CONTROLADORA",#N/A,TRUE,"capa (2)";"BAL(A)2002",#N/A,TRUE,"BAL A (2)";"RESULTADO mes a mes (A)2002",#N/A,TRUE,"mês a mês (2)";"MUTAÇÃO(A)2002",#N/A,TRUE,"mutação A (2)";"DOAR(A)2002",#N/A,TRUE,"DOAR A (2)";"ESTOQUE(A)2002",#N/A,TRUE,"estoque";"PERMANENTE(A)2002",#N/A,TRUE,"permanente A (2)"}</definedName>
    <definedName name="_jun03" hidden="1">{#N/A,#N/A,FALSE,"Aging Summary";#N/A,#N/A,FALSE,"Ratio Analysis";#N/A,#N/A,FALSE,"Test 120 Day Accts";#N/A,#N/A,FALSE,"Tickmarks"}</definedName>
    <definedName name="_k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K20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_KE3" hidden="1">#REF!</definedName>
    <definedName name="_KE5" hidden="1">#REF!</definedName>
    <definedName name="_KE6" hidden="1">#REF!</definedName>
    <definedName name="_KE8" hidden="1">#REF!</definedName>
    <definedName name="_Key1" hidden="1">#REF!</definedName>
    <definedName name="_key11" hidden="1">#REF!</definedName>
    <definedName name="_key12" hidden="1">#REF!</definedName>
    <definedName name="_KEY123" hidden="1">#REF!</definedName>
    <definedName name="_key1521" hidden="1">#REF!</definedName>
    <definedName name="_Key2" hidden="1">#REF!</definedName>
    <definedName name="_key3" hidden="1">#REF!</definedName>
    <definedName name="_KEY4" hidden="1">#REF!</definedName>
    <definedName name="_KEY5" hidden="1">#REF!</definedName>
    <definedName name="_KEY6" hidden="1">#REF!</definedName>
    <definedName name="_KEY7" hidden="1">#REF!</definedName>
    <definedName name="_key77" hidden="1">#REF!</definedName>
    <definedName name="_key8" hidden="1">#REF!</definedName>
    <definedName name="_KEY90" hidden="1">#REF!</definedName>
    <definedName name="_klf1" hidden="1">{#N/A,#N/A,FALSE,"wip"}</definedName>
    <definedName name="_klf2" hidden="1">{#N/A,#N/A,FALSE,"wip"}</definedName>
    <definedName name="_klf3" hidden="1">{#N/A,#N/A,FALSE,"wip"}</definedName>
    <definedName name="_klf4" hidden="1">{#N/A,#N/A,FALSE,"wip"}</definedName>
    <definedName name="_klf5" hidden="1">{#N/A,#N/A,FALSE,"wip"}</definedName>
    <definedName name="_klf6" hidden="1">{#N/A,#N/A,FALSE,"wip"}</definedName>
    <definedName name="_klf7" hidden="1">{#N/A,#N/A,FALSE,"wip"}</definedName>
    <definedName name="_LF12" hidden="1">#REF!</definedName>
    <definedName name="_MatInverse_In" hidden="1">#REF!</definedName>
    <definedName name="_n5" hidden="1">{#N/A,#N/A,FALSE,"1321";#N/A,#N/A,FALSE,"1324";#N/A,#N/A,FALSE,"1333";#N/A,#N/A,FALSE,"1371"}</definedName>
    <definedName name="_O1" hidden="1">{#N/A,#N/A,FALSE,"970301";#N/A,#N/A,FALSE,"970302";#N/A,#N/A,FALSE,"970303";#N/A,#N/A,FALSE,"970304";#N/A,#N/A,FALSE,"COM1";#N/A,#N/A,FALSE,"COM2"}</definedName>
    <definedName name="_O100" hidden="1">{#N/A,#N/A,FALSE,"970301";#N/A,#N/A,FALSE,"970302";#N/A,#N/A,FALSE,"970303";#N/A,#N/A,FALSE,"970304";#N/A,#N/A,FALSE,"COM1";#N/A,#N/A,FALSE,"COM2"}</definedName>
    <definedName name="_O300" hidden="1">{#N/A,#N/A,FALSE,"970301";#N/A,#N/A,FALSE,"970302";#N/A,#N/A,FALSE,"970303";#N/A,#N/A,FALSE,"970304";#N/A,#N/A,FALSE,"COM1";#N/A,#N/A,FALSE,"COM2"}</definedName>
    <definedName name="_o9" hidden="1">#REF!</definedName>
    <definedName name="_ok4" hidden="1">#REF!</definedName>
    <definedName name="_ok5" hidden="1">#REF!</definedName>
    <definedName name="_oo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Order1" hidden="1">255</definedName>
    <definedName name="_Order2" hidden="1">255</definedName>
    <definedName name="_P1" hidden="1">#REF!</definedName>
    <definedName name="_P600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_qq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_Regression_Int" hidden="1">1</definedName>
    <definedName name="_Regression_X" hidden="1">#REF!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BC95" hidden="1">{#N/A,#N/A,FALSE,"Co_BalSht";#N/A,#N/A,FALSE,"Co_IncStmt";#N/A,#N/A,FALSE,"Cons_BalSht";#N/A,#N/A,FALSE,"Cons_IncStmt";#N/A,#N/A,FALSE,"Cashflow"}</definedName>
    <definedName name="_vin1" hidden="1">#REF!</definedName>
    <definedName name="_w45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_wrn1" hidden="1">{#N/A,#N/A,FALSE,"MBR PCS";#N/A,#N/A,FALSE,"MBR CIG";#N/A,#N/A,FALSE,"MBR iDEN";#N/A,#N/A,FALSE,"MBR_FWT";#N/A,#N/A,FALSE,"MBR TOTAL"}</definedName>
    <definedName name="_xx" hidden="1">#REF!</definedName>
    <definedName name="_y6" hidden="1">#REF!</definedName>
    <definedName name="a.1" hidden="1">{#N/A,#N/A,FALSE,"²Ä1­Ó¤ë"}</definedName>
    <definedName name="aa" hidden="1">#REF!</definedName>
    <definedName name="AAA_DOCTOPS" hidden="1">"AAA_SET"</definedName>
    <definedName name="AAA_duser" hidden="1">"OFF"</definedName>
    <definedName name="aaaaa" hidden="1">{TRUE,0,TRUE,0}</definedName>
    <definedName name="aaaaaa" hidden="1">{0,0,0,0}</definedName>
    <definedName name="aaaaaaaaaaaaa" hidden="1">{"'Actual'!$A$1:$F$25"}</definedName>
    <definedName name="aaaaaaaaaaaaaaaaaaaaaaa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aad" hidden="1">{"'Actual'!$A$1:$F$25"}</definedName>
    <definedName name="AAB_Addin5" hidden="1">"AAB_Description for addin 5,Description for addin 5,Description for addin 5,Description for addin 5,Description for addin 5,Description for addin 5"</definedName>
    <definedName name="AAPL" hidden="1">{"'Individual Tooling Cost'!$B$3:$O$6"}</definedName>
    <definedName name="AARA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Aas" hidden="1">{#N/A,#N/A,FALSE,"을지 (4)";#N/A,#N/A,FALSE,"을지 (5)";#N/A,#N/A,FALSE,"을지 (6)"}</definedName>
    <definedName name="aasdf" hidden="1">{#N/A,#N/A,FALSE,"Aging Summary";#N/A,#N/A,FALSE,"Ratio Analysis";#N/A,#N/A,FALSE,"Test 120 Day Accts";#N/A,#N/A,FALSE,"Tickmarks"}</definedName>
    <definedName name="aavbrdf" hidden="1">{#N/A,#N/A,FALSE,"OffAdvance";#N/A,#N/A,FALSE,"OffExpRprt";#N/A,#N/A,FALSE,"Travelling";#N/A,#N/A,FALSE,"Entertmnt";#N/A,#N/A,FALSE,"Promotion"}</definedName>
    <definedName name="aba" hidden="1">#REF!</definedName>
    <definedName name="abcc" hidden="1">{#N/A,#N/A,FALSE,"OffAdvance";#N/A,#N/A,FALSE,"OffExpRprt";#N/A,#N/A,FALSE,"Entertmnt";#N/A,#N/A,FALSE,"Promotion";#N/A,#N/A,FALSE,"Travelling"}</definedName>
    <definedName name="abced" hidden="1">{#VALUE!,#N/A,FALSE,0}</definedName>
    <definedName name="acasda" hidden="1">{"BalanceAnual",#N/A,FALSE,"Balance Anual";"ER_Mensual",#N/A,FALSE,"Edo Res. Mens";"ER_Anual",#N/A,FALSE,"Edo Res. Anual";"Flujo_Mensual",#N/A,FALSE,"Flujo Mens";"Flujo_Anual",#N/A,FALSE,"Flujo Anual";"CtoVtas",#N/A,FALSE,"Otros Datos";"GtsAdmonyVtas",#N/A,FALSE,"Otros Datos";"GtsDistr",#N/A,FALSE,"Otros Datos";"VentasyCostos",#N/A,FALSE,"Otros Datos";"Indices",#N/A,FALSE,"Otros Datos"}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TUALS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D" hidden="1">{#N/A,#N/A,FALSE,"을지 (4)";#N/A,#N/A,FALSE,"을지 (5)";#N/A,#N/A,FALSE,"을지 (6)"}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ewerd" hidden="1">{"M5Print",#N/A,FALSE,"M5"}</definedName>
    <definedName name="adf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dfasdf" hidden="1">{#N/A,#N/A,FALSE,"资产负债表";#N/A,#N/A,FALSE,"资产负债表"}</definedName>
    <definedName name="adfasdfas" hidden="1">{#N/A,#N/A,FALSE,"资产负债表";#N/A,#N/A,FALSE,"资产负债表"}</definedName>
    <definedName name="adfasdfasdfasdf" hidden="1">{"ATI",#N/A,TRUE,"BALabr97";"PAS",#N/A,TRUE,"BALabr97";"REC",#N/A,TRUE,"BALabr97"}</definedName>
    <definedName name="adsa" hidden="1">{"'Actual'!$A$1:$F$25"}</definedName>
    <definedName name="ADSA1" hidden="1">{"'Actual'!$A$1:$F$25"}</definedName>
    <definedName name="adsfsfasdfasfd" hidden="1">{#N/A,#N/A,FALSE,"Aging Summary";#N/A,#N/A,FALSE,"Ratio Analysis";#N/A,#N/A,FALSE,"Test 120 Day Accts";#N/A,#N/A,FALSE,"Tickmarks"}</definedName>
    <definedName name="aeo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ewer" hidden="1">{"M6Print",#N/A,FALSE,"M6";"M6_1Print",#N/A,FALSE,"M6_1";"M6_2Print",#N/A,FALSE,"M6_2"}</definedName>
    <definedName name="afc" hidden="1">#REF!</definedName>
    <definedName name="AFV" hidden="1">#REF!</definedName>
    <definedName name="AGEDDATABASE" hidden="1">{#N/A,#N/A,FALSE,"970301";#N/A,#N/A,FALSE,"970302";#N/A,#N/A,FALSE,"970303";#N/A,#N/A,FALSE,"970304";#N/A,#N/A,FALSE,"COM1";#N/A,#N/A,FALSE,"COM2"}</definedName>
    <definedName name="ajbo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js" hidden="1">{#N/A,#N/A,FALSE,"DIR-REP";#N/A,#N/A,FALSE,"AUD-REPORT";#N/A,#N/A,FALSE,"P7L&amp;BS";#N/A,#N/A,FALSE,"NOTES";#N/A,#N/A,FALSE,"FA";#N/A,#N/A,FALSE,"NOTES (2)";#N/A,#N/A,FALSE,"Schedule  IV";#N/A,#N/A,FALSE,"Schedule V"}</definedName>
    <definedName name="ajseo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nscount" hidden="1">1</definedName>
    <definedName name="Any" hidden="1">#N/A</definedName>
    <definedName name="aosl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owa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appl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ppl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Aquisições" hidden="1">{"SLDCOMPENSAR",#N/A,TRUE,"SALDOCOMPENSAR";"RESANO",#N/A,TRUE,"Resumo Ano";"RESMENSAL",#N/A,TRUE,"Resumo Mensal";"ENTRADASJAN04",#N/A,TRUE,"EntradasJan";"DESPFINPISJAN04",#N/A,TRUE,"DESP FIN PIS-JAN04";"CUSTOJAN04",#N/A,TRUE,"DESP-JAN04";"ENTRADASFEV04",#N/A,TRUE,"EntradasFev";"DESPFINPISFEV04",#N/A,TRUE,"DESP FIN PIS-FEV04";"DESPFINCOFFEV04",#N/A,TRUE,"DESP FIN COFINS-FEV04";"CUSTOFEV04",#N/A,TRUE,"DESP-FEV04"}</definedName>
    <definedName name="AQWWWWW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ARCHITECTURAL">#REF!</definedName>
    <definedName name="are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S2DocOpenMode" hidden="1">"AS2DocumentEdit"</definedName>
    <definedName name="AS2HasNoAutoHeaderFooter" hidden="1">" "</definedName>
    <definedName name="AS2NamedRange" hidden="1">7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df" hidden="1">{"'Individual Tooling Cost'!$B$3:$O$6"}</definedName>
    <definedName name="asdfasd" hidden="1">{"ATI",#N/A,TRUE,"BALabr97";"PAS",#N/A,TRUE,"BALabr97";"REC",#N/A,TRUE,"BALabr97"}</definedName>
    <definedName name="asdfasdf" hidden="1">{"ativo analítico",#N/A,FALSE,"BALmar97";"passivo analítico",#N/A,FALSE,"BALmar97";"resultado analítico",#N/A,FALSE,"BALmar97"}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fads" hidden="1">{#N/A,#N/A,FALSE,"FREEMAN";#N/A,#N/A,FALSE,"STEPHEN";#N/A,#N/A,FALSE,"VICTOR"}</definedName>
    <definedName name="ASS" hidden="1">{#N/A,#N/A,FALSE,"을지 (4)";#N/A,#N/A,FALSE,"을지 (5)";#N/A,#N/A,FALSE,"을지 (6)"}</definedName>
    <definedName name="assl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wvrevrf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x" hidden="1">{#N/A,#N/A,FALSE,"gl";#N/A,#N/A,FALSE,"0017-Carlsberg";#N/A,#N/A,FALSE,"0019-Timber";#N/A,#N/A,FALSE,"0022-XiaoYa";#N/A,#N/A,FALSE,"0023-HangZhou Motorola";#N/A,#N/A,FALSE,"0042-AMP";#N/A,#N/A,FALSE,"0046-Rama";#N/A,#N/A,FALSE,"0051-Mitsubishi";#N/A,#N/A,FALSE,"0055-Haier GZS";#N/A,#N/A,FALSE,"0056-Broad Air Condition";#N/A,#N/A,FALSE,"0059-0-Kodak";#N/A,#N/A,FALSE,"0060-SJZ Press";#N/A,#N/A,FALSE,"0061-BJ Comfort";#N/A,#N/A,FALSE,"0062-Nacco";#N/A,#N/A,FALSE,"0063-Camp Carrol";#N/A,#N/A,FALSE,"0064-CoCo Coal";#N/A,#N/A,FALSE,"0066-Koito";#N/A,#N/A,FALSE,"0067-Carrefour";#N/A,#N/A,FALSE,"0073-Niger";#N/A,#N/A,FALSE,"0076-DMS";#N/A,#N/A,FALSE,"0077-New Venture";#N/A,#N/A,FALSE,"0082-Shuai Kang";#N/A,#N/A,FALSE,"0083-MingRi";#N/A,#N/A,FALSE,"0089-Haier AD";#N/A,#N/A,FALSE,"0090-WGQ";#N/A,#N/A,FALSE,"0092-Mattel";#N/A,#N/A,FALSE,"0093-MD";#N/A,#N/A,FALSE,"0095-Medical Warehouse";#N/A,#N/A,FALSE,"0096-Wiseman";#N/A,#N/A,FALSE,"0097-GYJ";#N/A,#N/A,FALSE,"0103-Zhuhai Dart";#N/A,#N/A,FALSE,"0104-Yantian Harbour";#N/A,#N/A,FALSE,"0105-Oriental";#N/A,#N/A,FALSE,"0106-Hanger";#N/A,#N/A,FALSE,"0107-ASB";#N/A,#N/A,FALSE,"0108-TJ MQ";#N/A,#N/A,FALSE,"0110-Terranvoa";#N/A,#N/A,FALSE,"0111-DMS No.2";#N/A,#N/A,FALSE,"0113-JiaHua Shoe";#N/A,#N/A,FALSE,"0115-DMS 7-3#";#N/A,#N/A,FALSE,"0116-DMS 7-4#";#N/A,#N/A,FALSE,"0117-DMS 7-1#";#N/A,#N/A,FALSE,"0118-LiYi";#N/A,#N/A,FALSE,"0119-MeiZhou Wan";#N/A,#N/A,FALSE,"0120-TaiFeng";#N/A,#N/A,FALSE,"0121-ShangFang";#N/A,#N/A,FALSE,"0122-TJ Cola";#N/A,#N/A,FALSE,"0123-XinJiang ZL";#N/A,#N/A,FALSE,"0124-Haier No.4";#N/A,#N/A,FALSE,"0125-DMS No.3";#N/A,#N/A,FALSE,"0126-DMS No.4";#N/A,#N/A,FALSE,"0127-DMS No.5";#N/A,#N/A,FALSE,"0128-DMS No.6";#N/A,#N/A,FALSE,"0129-Corning SHA";#N/A,#N/A,FALSE,"0130-WuNiu";#N/A,#N/A,FALSE,"0131-Knauf";#N/A,#N/A,FALSE,"0132-WSC";#N/A,#N/A,FALSE,"0133-Haier No.5";#N/A,#N/A,FALSE,"0134-AMP Shunde";#N/A,#N/A,FALSE,"0135-Karei";#N/A,#N/A,FALSE,"0137-Haier No.6";#N/A,#N/A,FALSE,"0138-Haier No.7";#N/A,#N/A,FALSE,"0139-Haier No.8";#N/A,#N/A,FALSE,"0140-MeiZhou Wan";#N/A,#N/A,FALSE,"0142-Auto Plant";#N/A,#N/A,FALSE,"0143-YunSheng";#N/A,#N/A,FALSE,"0146-Haier No.9";#N/A,#N/A,FALSE,"0147-DMS Stywall";#N/A,#N/A,FALSE,"0148-MD PhII";#N/A,#N/A,FALSE,"0149-Paper Making";#N/A,#N/A,FALSE,"0150-BeiRen";#N/A,#N/A,FALSE,"0151-ChengDa";#N/A,#N/A,FALSE,"0152-Haier Training Center";#N/A,#N/A,FALSE,"0153-XiaoBao";#N/A,#N/A,FALSE,"0155-CP";#N/A,#N/A,FALSE,"0156-SJ Ind. Zone";#N/A,#N/A,FALSE,"0157-YuKang";#N/A,#N/A,FALSE,"0158-DongSheng";#N/A,#N/A,FALSE,"0159-Chupa Chups";#N/A,#N/A,FALSE,"0161-ShenNei";#N/A,#N/A,FALSE,"0162-Delle";#N/A,#N/A,FALSE,"0163-BT ShengYang";#N/A,#N/A,FALSE,"0164-QiDong";#N/A,#N/A,FALSE,"0165-Homemart";#N/A,#N/A,FALSE,"0166-LeDa";#N/A,#N/A,FALSE,"0167-FND";#N/A,#N/A,FALSE,"0168-TianShi";#N/A,#N/A,FALSE,"0169-WuNiu PhII";#N/A,#N/A,FALSE,"0170-Exhibition Center";#N/A,#N/A,FALSE,"0172-SSC";#N/A,#N/A,FALSE,"0173-YunSheng PhII";#N/A,#N/A,FALSE,"0174-Exhibition Center PhII";#N/A,#N/A,FALSE,"0175-XT";#N/A,#N/A,FALSE,"0177-GE Xiamen";#N/A,#N/A,FALSE,"0178-DongDu";#N/A,#N/A,FALSE,"0179-JinBan";#N/A,#N/A,FALSE,"0180-BYF";#N/A,#N/A,FALSE,"0182-SW Airline";#N/A,#N/A,FALSE,"0183-Book Store";#N/A,#N/A,FALSE,"0184-QinShan";#N/A,#N/A,FALSE,"0185-RuSheng";#N/A,#N/A,FALSE,"0186-JAC GB";#N/A,#N/A,FALSE,"0187-UTA";#N/A,#N/A,FALSE,"0188-Rui Nan";#N/A,#N/A,FALSE,"0189-PH PuDong";#N/A,#N/A,FALSE,"0195-JAC PC";#N/A,#N/A,FALSE,"0196-XinYunFang";#N/A,#N/A,FALSE,"0197-JAC PTS";#N/A,#N/A,FALSE,"0201-QianJiang";#N/A,#N/A,FALSE,"0203-Pan Well Land";#N/A,#N/A,FALSE,"0205-Motorola Dining";#N/A,#N/A,FALSE,"0215-Dascom I";#N/A,#N/A,FALSE,"0221-Markor";#N/A,#N/A,FALSE,"0229-P &amp; G";#N/A,#N/A,FALSE,"B0001-Export Matel";#N/A,#N/A,FALSE,"B0002-Export Matel";#N/A,#N/A,FALSE,"B0003-Export Matel";#N/A,#N/A,FALSE,"B0004-Export Matel";#N/A,#N/A,FALSE,"B0005-Export Matel";#N/A,#N/A,FALSE,"B0006-Export Matel";#N/A,#N/A,FALSE,"B0007-Export Matel";#N/A,#N/A,FALSE,"B0008-Export Matel";#N/A,#N/A,FALSE,"B0009-Export Matel";#N/A,#N/A,FALSE,"B0010-Export Matel";#N/A,#N/A,FALSE,"B0011-Export Matel";#N/A,#N/A,FALSE,"B0012-Export Matel";#N/A,#N/A,FALSE,"B0013-Export Matel";#N/A,#N/A,FALSE,"B0014-Export Matel";#N/A,#N/A,FALSE,"B0015-Export Matel";#N/A,#N/A,FALSE,"B0016-Export Matel";#N/A,#N/A,FALSE,"B0017-Export Matel";#N/A,#N/A,FALSE,"B0019-Export Matel"}</definedName>
    <definedName name="baa" hidden="1">{#N/A,#N/A,FALSE,"Ocean";#N/A,#N/A,FALSE,"NewYork";#N/A,#N/A,FALSE,"Gateway";#N/A,#N/A,FALSE,"GVH";#N/A,#N/A,FALSE,"GVM";#N/A,#N/A,FALSE,"GVT"}</definedName>
    <definedName name="ban" hidden="1">{#N/A,#N/A,FALSE,"5YRASSPl - consol'd";#N/A,#N/A,FALSE,"5YRASSPl - hotel";#N/A,#N/A,FALSE,"5YRASSPl - excl htl";#N/A,#N/A,FALSE,"VarReport";#N/A,#N/A,FALSE,"Sensitivity";#N/A,#N/A,FALSE,"House View ";#N/A,#N/A,FALSE,"KPI"}</definedName>
    <definedName name="BB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bbb">#REF!</definedName>
    <definedName name="bbbb" hidden="1">{"'Individual Tooling Cost'!$B$3:$O$6"}</definedName>
    <definedName name="bbbbbbbbbbbbb" hidden="1">{"'Individual Tooling Cost'!$B$3:$O$6"}</definedName>
    <definedName name="bc" hidden="1">{"M5Print",#N/A,FALSE,"M5"}</definedName>
    <definedName name="bfd" hidden="1">{"'毛利比较'!$A$4:$P$26"}</definedName>
    <definedName name="BG_Del" hidden="1">15</definedName>
    <definedName name="BG_Ins" hidden="1">4</definedName>
    <definedName name="BG_Mod" hidden="1">6</definedName>
    <definedName name="bgt" hidden="1">{"'毛利比较'!$A$4:$P$26"}</definedName>
    <definedName name="bhljkbv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ikb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afo" hidden="1">{#N/A,#N/A,FALSE,"DIR-REP";#N/A,#N/A,FALSE,"AUD-REPORT";#N/A,#N/A,FALSE,"P7L&amp;BS";#N/A,#N/A,FALSE,"NOTES";#N/A,#N/A,FALSE,"FA";#N/A,#N/A,FALSE,"NOTES (2)";#N/A,#N/A,FALSE,"Schedule  IV";#N/A,#N/A,FALSE,"Schedule V"}</definedName>
    <definedName name="bjo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afjaw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jos" hidden="1">{#N/A,#N/A,FALSE,"DIR-REP";#N/A,#N/A,FALSE,"AUD-REPORT";#N/A,#N/A,FALSE,"P7L&amp;BS";#N/A,#N/A,FALSE,"NOTES";#N/A,#N/A,FALSE,"FA";#N/A,#N/A,FALSE,"NOTES (2)";#N/A,#N/A,FALSE,"Schedule  IV";#N/A,#N/A,FALSE,"Schedule V"}</definedName>
    <definedName name="bjosds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osl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josle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bjoss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bjs" hidden="1">{#N/A,#N/A,TRUE,"COVER";#N/A,#N/A,TRUE,"DIR";#N/A,#N/A,TRUE,"AUDIT"}</definedName>
    <definedName name="bkb" hidden="1">{#N/A,#N/A,TRUE,"COVER";#N/A,#N/A,TRUE,"DIR";#N/A,#N/A,TRUE,"AUDIT"}</definedName>
    <definedName name="bkiuygv" hidden="1">{#N/A,#N/A,FALSE,"DIR-REP";#N/A,#N/A,FALSE,"AUD-REPORT";#N/A,#N/A,FALSE,"P7L&amp;BS";#N/A,#N/A,FALSE,"NOTES";#N/A,#N/A,FALSE,"FA";#N/A,#N/A,FALSE,"NOTES (2)";#N/A,#N/A,FALSE,"Schedule  IV";#N/A,#N/A,FALSE,"Schedule V"}</definedName>
    <definedName name="blah.blah" hidden="1">{"BG",#N/A,FALSE,"SABANAS";"ERACUM",#N/A,FALSE,"SABANAS";"ERMES",#N/A,FALSE,"SABANAS";"BG",#N/A,FALSE,"RESUMEN";"ERACU",#N/A,FALSE,"RESUMEN";"ERMES",#N/A,FALSE,"RESUMEN"}</definedName>
    <definedName name="BLPB1" hidden="1">#REF!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NE_MESSAGES_HIDDEN" hidden="1">#REF!</definedName>
    <definedName name="bny" hidden="1">{"'毛利比较'!$A$4:$P$26"}</definedName>
    <definedName name="boel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book1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bo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owl" hidden="1">{#N/A,#N/A,FALSE,"DIR-REP";#N/A,#N/A,FALSE,"AUD-REPORT";#N/A,#N/A,FALSE,"P7L&amp;BS";#N/A,#N/A,FALSE,"NOTES";#N/A,#N/A,FALSE,"FA";#N/A,#N/A,FALSE,"NOTES (2)";#N/A,#N/A,FALSE,"Schedule  IV";#N/A,#N/A,FALSE,"Schedule V"}</definedName>
    <definedName name="break" hidden="1">{#N/A,#N/A,TRUE,"Cover Memo";"Ride Estimate",#N/A,TRUE,"Change Summary";"Ride Estimate",#N/A,TRUE,"Estimate Summary";"Ride Estimate",#N/A,TRUE,"Dept. Summary";"Ride Estimate",#N/A,TRUE,"DOW Detail"}</definedName>
    <definedName name="bs_1" hidden="1">{#N/A,#N/A,FALSE,"BBPREP"}</definedName>
    <definedName name="BS_CDMA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BSFWT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budget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udget2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buod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v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byu" hidden="1">{"'毛利比较'!$A$4:$P$26"}</definedName>
    <definedName name="ca" hidden="1">{#N/A,#N/A,TRUE,"CF";#N/A,#N/A,TRUE,"BS";#N/A,#N/A,TRUE,"P&amp;L";#N/A,#N/A,TRUE,"R65";#N/A,#N/A,TRUE,"Labor";#N/A,#N/A,TRUE,"CapEx, Depr, Bookvalues";#N/A,#N/A,TRUE,"assumtions"}</definedName>
    <definedName name="CANAN1" hidden="1">{"'Individual Tooling Cost'!$B$3:$O$6"}</definedName>
    <definedName name="carman" hidden="1">{"'Individual Tooling Cost'!$B$3:$O$6"}</definedName>
    <definedName name="Caroline" hidden="1">{#N/A,#N/A,FALSE,"wip"}</definedName>
    <definedName name="Caroline1" hidden="1">{#N/A,#N/A,FALSE,"wip"}</definedName>
    <definedName name="cas" hidden="1">{#N/A,#N/A,TRUE,"assumtions";#N/A,#N/A,TRUE,"CF";#N/A,#N/A,TRUE,"BS";#N/A,#N/A,TRUE,"P&amp;L";#N/A,#N/A,TRUE,"BEP";#N/A,#N/A,TRUE,"CapEx, Depr, Bookvalues";#N/A,#N/A,TRUE,"R65";#N/A,#N/A,TRUE,"Labor";#N/A,#N/A,TRUE,"PG1";#N/A,#N/A,TRUE,"R380";#N/A,#N/A,TRUE,"TTL";#N/A,#N/A,TRUE,"P&amp;L Purchase";#N/A,#N/A,TRUE,"balance sheet";#N/A,#N/A,TRUE,"Multiples";#N/A,#N/A,TRUE,"volume";#N/A,#N/A,TRUE,"balance sheet"}</definedName>
    <definedName name="Cash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ssc" hidden="1">{"desglose domestico unidades",#N/A,FALSE,"Margen";"desglose exportacion unidades",#N/A,FALSE,"Margen";"Desglose domestico ventas",#N/A,FALSE,"Margen";"desglose exportacion ventas",#N/A,FALSE,"Margen";"desglose domestico costo",#N/A,FALSE,"Margen";"desglose exportacion costo",#N/A,FALSE,"Margen";"desglose domestico margen",#N/A,FALSE,"Margen";"desglose exportacion margen",#N/A,FALSE,"Margen";"desglose domestico margen %",#N/A,FALSE,"Margen";"desglose exportacion margen %",#N/A,FALSE,"Margen";"Resumen unidades",#N/A,FALSE,"Margen";"resumen ventas",#N/A,FALSE,"Margen";"resumen costo",#N/A,FALSE,"Margen";"resumen margen",#N/A,FALSE,"Margen";"resumen margen %",#N/A,FALSE,"Margen";"desglose domestico precio",#N/A,FALSE,"Margen";"desglose exportacion precio",#N/A,FALSE,"Margen";"desglose dom costo unit",#N/A,FALSE,"Margen";"desglose exp costo unit",#N/A,FALSE,"Margen";"desglose dom precio dlls",#N/A,FALSE,"Margen";"desglose exp precio dlls",#N/A,FALSE,"Margen";"costo dom unit dlls",#N/A,FALSE,"Margen";"costo exp unit dlls",#N/A,FALSE,"Margen"}</definedName>
    <definedName name="cay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cb" hidden="1">{#N/A,#N/A,FALSE,"TAXC.INDEX";#N/A,#N/A,FALSE,"Schedule I";#N/A,#N/A,FALSE,"Schedule  II";#N/A,#N/A,FALSE,"Schedule III"}</definedName>
    <definedName name="ccca" hidden="1">{"preco1",#N/A,TRUE,"Analise preços";"peq",#N/A,TRUE,"Analise preços";"resu",#N/A,TRUE,"TOTAL"}</definedName>
    <definedName name="cccc" hidden="1">{"'Actual'!$A$1:$F$25"}</definedName>
    <definedName name="CCD" hidden="1">#REF!</definedName>
    <definedName name="CDE" hidden="1">#REF!</definedName>
    <definedName name="cedt" hidden="1">{#N/A,#N/A,FALSE,"DIR-REP";#N/A,#N/A,FALSE,"AUD-REPORT";#N/A,#N/A,FALSE,"P7L&amp;BS";#N/A,#N/A,FALSE,"NOTES";#N/A,#N/A,FALSE,"FA";#N/A,#N/A,FALSE,"NOTES (2)";#N/A,#N/A,FALSE,"Schedule  IV";#N/A,#N/A,FALSE,"Schedule V"}</definedName>
    <definedName name="cew" hidden="1">{"'毛利比较'!$A$4:$P$26"}</definedName>
    <definedName name="cg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cgtat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gtg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gtjot" hidden="1">{#N/A,#N/A,FALSE,"TAXC.INDEX";#N/A,#N/A,FALSE,"Schedule I";#N/A,#N/A,FALSE,"Schedule  II";#N/A,#N/A,FALSE,"Schedule III"}</definedName>
    <definedName name="chang" hidden="1">{#N/A,#N/A,FALSE,"을지 (4)";#N/A,#N/A,FALSE,"을지 (5)";#N/A,#N/A,FALSE,"을지 (6)"}</definedName>
    <definedName name="Charges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CIQWBGuid" hidden="1">"227647ac-83fd-4863-abd5-adf43698ad66"</definedName>
    <definedName name="CIQWBInfo" hidden="1">"{ ""CIQVersion"":""9.51.3510.3078"" }"</definedName>
    <definedName name="CIVIL">#REF!</definedName>
    <definedName name="cjbao" hidden="1">{#N/A,#N/A,FALSE,"TAXC.INDEX";#N/A,#N/A,FALSE,"Schedule I";#N/A,#N/A,FALSE,"Schedule  II";#N/A,#N/A,FALSE,"Schedule III"}</definedName>
    <definedName name="cjbg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jboag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jgboat" hidden="1">{#N/A,#N/A,FALSE,"TAXC.INDEX";#N/A,#N/A,FALSE,"Schedule I";#N/A,#N/A,FALSE,"Schedule  II";#N/A,#N/A,FALSE,"Schedule III"}</definedName>
    <definedName name="cjjg" hidden="1">{#N/A,#N/A,FALSE,"DIR-REP";#N/A,#N/A,FALSE,"AUD-REPORT";#N/A,#N/A,FALSE,"P7L&amp;BS";#N/A,#N/A,FALSE,"NOTES";#N/A,#N/A,FALSE,"FA";#N/A,#N/A,FALSE,"NOTES (2)";#N/A,#N/A,FALSE,"Schedule  IV";#N/A,#N/A,FALSE,"Schedule V"}</definedName>
    <definedName name="cjlds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jlg" hidden="1">{#N/A,#N/A,FALSE,"DIR-REP";#N/A,#N/A,FALSE,"AUD-REPORT";#N/A,#N/A,FALSE,"P7L&amp;BS";#N/A,#N/A,FALSE,"NOTES";#N/A,#N/A,FALSE,"FA";#N/A,#N/A,FALSE,"NOTES (2)";#N/A,#N/A,FALSE,"Schedule  IV";#N/A,#N/A,FALSE,"Schedule V"}</definedName>
    <definedName name="cjoga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jtoa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kd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l" hidden="1">{#N/A,#N/A,FALSE,"Fund-II"}</definedName>
    <definedName name="Clean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iente" hidden="1">#REF!</definedName>
    <definedName name="cls." hidden="1">{#N/A,#N/A,TRUE,"COVER";#N/A,#N/A,TRUE,"DIR";#N/A,#N/A,TRUE,"AUDIT"}</definedName>
    <definedName name="cococo" hidden="1">{#N/A,#N/A,FALSE,"TAXC.INDEX";#N/A,#N/A,FALSE,"Schedule I";#N/A,#N/A,FALSE,"Schedule  II";#N/A,#N/A,FALSE,"Schedule III"}</definedName>
    <definedName name="cogl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ll" hidden="1">{#N/A,#N/A,FALSE,"970301";#N/A,#N/A,FALSE,"970302";#N/A,#N/A,FALSE,"970303";#N/A,#N/A,FALSE,"970304";#N/A,#N/A,FALSE,"COM1";#N/A,#N/A,FALSE,"COM2"}</definedName>
    <definedName name="Comments_CIG_FWT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CONT02092000.4" hidden="1">{#N/A,#N/A,FALSE,"1321";#N/A,#N/A,FALSE,"1324";#N/A,#N/A,FALSE,"1333";#N/A,#N/A,FALSE,"1371"}</definedName>
    <definedName name="CONT02092000.41" hidden="1">{#N/A,#N/A,FALSE,"1321";#N/A,#N/A,FALSE,"1324";#N/A,#N/A,FALSE,"1333";#N/A,#N/A,FALSE,"1371"}</definedName>
    <definedName name="CONT02092000.413" hidden="1">{#N/A,#N/A,FALSE,"1321";#N/A,#N/A,FALSE,"1324";#N/A,#N/A,FALSE,"1333";#N/A,#N/A,FALSE,"1371"}</definedName>
    <definedName name="coocl" hidden="1">{#N/A,#N/A,FALSE,"DIR-REP";#N/A,#N/A,FALSE,"AUD-REPORT";#N/A,#N/A,FALSE,"P7L&amp;BS";#N/A,#N/A,FALSE,"NOTES";#N/A,#N/A,FALSE,"FA";#N/A,#N/A,FALSE,"NOTES (2)";#N/A,#N/A,FALSE,"Schedule  IV";#N/A,#N/A,FALSE,"Schedule V"}</definedName>
    <definedName name="cooo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sls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sl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sta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talta" hidden="1">{#N/A,#N/A,FALSE,"DIR-REP";#N/A,#N/A,FALSE,"AUD-REPORT";#N/A,#N/A,FALSE,"P7L&amp;BS";#N/A,#N/A,FALSE,"NOTES";#N/A,#N/A,FALSE,"FA";#N/A,#N/A,FALSE,"NOTES (2)";#N/A,#N/A,FALSE,"Schedule  IV";#N/A,#N/A,FALSE,"Schedule V"}</definedName>
    <definedName name="cotalta.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otl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cotlam" hidden="1">{#N/A,#N/A,FALSE,"DIR-REP";#N/A,#N/A,FALSE,"AUD-REPORT";#N/A,#N/A,FALSE,"P7L&amp;BS";#N/A,#N/A,FALSE,"NOTES";#N/A,#N/A,FALSE,"FA";#N/A,#N/A,FALSE,"NOTES (2)";#N/A,#N/A,FALSE,"Schedule  IV";#N/A,#N/A,FALSE,"Schedule V"}</definedName>
    <definedName name="cotlat" hidden="1">{#N/A,#N/A,FALSE,"DIR-REP";#N/A,#N/A,FALSE,"AUD-REPORT";#N/A,#N/A,FALSE,"P7L&amp;BS";#N/A,#N/A,FALSE,"NOTES";#N/A,#N/A,FALSE,"FA";#N/A,#N/A,FALSE,"NOTES (2)";#N/A,#N/A,FALSE,"Schedule  IV";#N/A,#N/A,FALSE,"Schedule V"}</definedName>
    <definedName name="cotls" hidden="1">{#N/A,#N/A,TRUE,"COVER";#N/A,#N/A,TRUE,"DIR";#N/A,#N/A,TRUE,"AUDIT"}</definedName>
    <definedName name="cotlsot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cotl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t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otsl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cover1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ctatatat" hidden="1">{#N/A,#N/A,FALSE,"DIR-REP";#N/A,#N/A,FALSE,"AUD-REPORT";#N/A,#N/A,FALSE,"P7L&amp;BS";#N/A,#N/A,FALSE,"NOTES";#N/A,#N/A,FALSE,"FA";#N/A,#N/A,FALSE,"NOTES (2)";#N/A,#N/A,FALSE,"Schedule  IV";#N/A,#N/A,FALSE,"Schedule V"}</definedName>
    <definedName name="ctf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tg" hidden="1">{#N/A,#N/A,FALSE,"Aging Summary";#N/A,#N/A,FALSE,"Ratio Analysis";#N/A,#N/A,FALSE,"Test 120 Day Accts";#N/A,#N/A,FALSE,"Tickmarks"}</definedName>
    <definedName name="ctgtt" hidden="1">{#N/A,#N/A,TRUE,"COVER";#N/A,#N/A,TRUE,"DIR";#N/A,#N/A,TRUE,"AUDIT"}</definedName>
    <definedName name="ctlllo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cutoff" hidden="1">#REF!</definedName>
    <definedName name="cv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cvb" hidden="1">{"'毛利比较'!$A$4:$P$26"}</definedName>
    <definedName name="cw" hidden="1">{"'毛利比较'!$A$4:$P$26"}</definedName>
    <definedName name="cx" hidden="1">{"'毛利比较'!$A$4:$P$26"}</definedName>
    <definedName name="cxz" hidden="1">{"'毛利比较'!$A$4:$P$26"}</definedName>
    <definedName name="cynthioa" hidden="1">{#N/A,#N/A,FALSE,"DIR-REP";#N/A,#N/A,FALSE,"AUD-REPORT";#N/A,#N/A,FALSE,"P7L&amp;BS";#N/A,#N/A,FALSE,"NOTES";#N/A,#N/A,FALSE,"FA";#N/A,#N/A,FALSE,"NOTES (2)";#N/A,#N/A,FALSE,"Schedule  IV";#N/A,#N/A,FALSE,"Schedule V"}</definedName>
    <definedName name="cz" hidden="1">{"'毛利比较'!$A$4:$P$26"}</definedName>
    <definedName name="da" hidden="1">#REF!</definedName>
    <definedName name="DA_1967104634600000071" hidden="1">#REF!</definedName>
    <definedName name="DA_1978352799500000781" hidden="1">#REF!</definedName>
    <definedName name="DA_1978352799500000786" hidden="1">#REF!</definedName>
    <definedName name="DA_1978352799500000791" hidden="1">#REF!</definedName>
    <definedName name="DA_1978352799500000797" hidden="1">#REF!</definedName>
    <definedName name="DALL" hidden="1">#REF!</definedName>
    <definedName name="DAP" hidden="1">{"'Individual Tooling Cost'!$B$3:$O$6"}</definedName>
    <definedName name="datacutoff" hidden="1">{#N/A,#N/A,FALSE,"Ocean";#N/A,#N/A,FALSE,"NewYork";#N/A,#N/A,FALSE,"Gateway";#N/A,#N/A,FALSE,"GVH";#N/A,#N/A,FALSE,"GVM";#N/A,#N/A,FALSE,"GVT"}</definedName>
    <definedName name="day" hidden="1">{#N/A,#N/A,FALSE,"DIR-REP";#N/A,#N/A,FALSE,"AUD-REPORT";#N/A,#N/A,FALSE,"P7L&amp;BS";#N/A,#N/A,FALSE,"NOTES";#N/A,#N/A,FALSE,"FA";#N/A,#N/A,FALSE,"NOTES (2)";#N/A,#N/A,FALSE,"Schedule  IV";#N/A,#N/A,FALSE,"Schedule V"}</definedName>
    <definedName name="dcfg" hidden="1">{"'Actual'!$A$1:$F$25"}</definedName>
    <definedName name="dcv" hidden="1">{"'毛利比较'!$A$4:$P$26"}</definedName>
    <definedName name="ddda" hidden="1">{#N/A,#N/A,FALSE,"DIR-REP";#N/A,#N/A,FALSE,"AUD-REPORT";#N/A,#N/A,FALSE,"P7L&amp;BS";#N/A,#N/A,FALSE,"NOTES";#N/A,#N/A,FALSE,"FA";#N/A,#N/A,FALSE,"NOTES (2)";#N/A,#N/A,FALSE,"Schedule  IV";#N/A,#N/A,FALSE,"Schedule V"}</definedName>
    <definedName name="DDDD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e" hidden="1">{"'Actual'!$A$1:$F$25"}</definedName>
    <definedName name="DEX" hidden="1">#REF!</definedName>
    <definedName name="dfdddd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DFD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dfdsf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fgdafsg" hidden="1">{#N/A,#N/A,FALSE,"OffAdvance";#N/A,#N/A,FALSE,"OffExpRprt";#N/A,#N/A,FALSE,"Travelling";#N/A,#N/A,FALSE,"Entertmnt";#N/A,#N/A,FALSE,"Promotion"}</definedName>
    <definedName name="DFL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fs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display_area_2" hidden="1">#REF!</definedName>
    <definedName name="DME_BeforeCloseCompleted" hidden="1">"False"</definedName>
    <definedName name="DME_Dirty" hidden="1">"False"</definedName>
    <definedName name="DME_LocalFile" hidden="1">"True"</definedName>
    <definedName name="DME_ODMALinks1" hidden="1">"::ODMA\DME-MSE\ECU1-46342=C:\DOCUME~1\ec01309\LOCALS~1\Temp\Dme\DME46342.xls"</definedName>
    <definedName name="DME_ODMALinksCount" hidden="1">"1"</definedName>
    <definedName name="doatla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doddd" hidden="1">{#N/A,#N/A,TRUE,"CPRD";#N/A,#N/A,TRUE,"BCCPDR";#N/A,#N/A,TRUE,"EWRD";#N/A,#N/A,TRUE,"5100";#N/A,#N/A,TRUE,"5110"}</definedName>
    <definedName name="dog" hidden="1">{#N/A,#N/A,TRUE,"CPRD";#N/A,#N/A,TRUE,"BCCPDR";#N/A,#N/A,TRUE,"EWRD";#N/A,#N/A,TRUE,"5100";#N/A,#N/A,TRUE,"5110"}</definedName>
    <definedName name="Doncaster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DPFLSDPFL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DS" hidden="1">{#N/A,#N/A,FALSE,"초도품";#N/A,#N/A,FALSE,"초도품 (2)";#N/A,#N/A,FALSE,"초도품 (3)";#N/A,#N/A,FALSE,"초도품 (4)";#N/A,#N/A,FALSE,"초도품 (5)";#N/A,#N/A,FALSE,"초도품 (6)"}</definedName>
    <definedName name="DSA" hidden="1">{#N/A,#N/A,FALSE,"을지 (4)";#N/A,#N/A,FALSE,"을지 (5)";#N/A,#N/A,FALSE,"을지 (6)"}</definedName>
    <definedName name="dsdsfa" hidden="1">#REF!</definedName>
    <definedName name="dsfas" hidden="1">#REF!</definedName>
    <definedName name="dsfkljsd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dsgsdgsd" hidden="1">{#N/A,#N/A,FALSE,"5YRASSPl - consol'd";#N/A,#N/A,FALSE,"5YRASSPl - hotel";#N/A,#N/A,FALSE,"5YRASSPl - excl htl";#N/A,#N/A,FALSE,"VarReport";#N/A,#N/A,FALSE,"Sensitivity";#N/A,#N/A,FALSE,"House View ";#N/A,#N/A,FALSE,"KPI"}</definedName>
    <definedName name="dtaot" hidden="1">{#N/A,#N/A,FALSE,"DIR-REP";#N/A,#N/A,FALSE,"AUD-REPORT";#N/A,#N/A,FALSE,"P7L&amp;BS";#N/A,#N/A,FALSE,"NOTES";#N/A,#N/A,FALSE,"FA";#N/A,#N/A,FALSE,"NOTES (2)";#N/A,#N/A,FALSE,"Schedule  IV";#N/A,#N/A,FALSE,"Schedule V"}</definedName>
    <definedName name="DTGFYH" hidden="1">#REF!</definedName>
    <definedName name="dwq" hidden="1">{"'毛利比较'!$A$4:$P$26"}</definedName>
    <definedName name="e" hidden="1">#REF!</definedName>
    <definedName name="E_RR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earfe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eay" hidden="1">{#N/A,#N/A,TRUE,"COVER";#N/A,#N/A,TRUE,"DIR";#N/A,#N/A,TRUE,"AUDIT"}</definedName>
    <definedName name="EDC" hidden="1">#REF!</definedName>
    <definedName name="ededre" hidden="1">#REF!</definedName>
    <definedName name="edt" hidden="1">{"'毛利比较'!$A$4:$P$26"}</definedName>
    <definedName name="EEE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EEEE" hidden="1">#REF!</definedName>
    <definedName name="eeeee" hidden="1">#REF!</definedName>
    <definedName name="eeeeeeeeeeeeeeeeeeeeeeeeeeeeeeeeeeeeeeeeeeeeeee" hidden="1">#REF!</definedName>
    <definedName name="eeir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hdg" hidden="1">{#N/A,#N/A,FALSE,"Jan"}</definedName>
    <definedName name="ekspo" hidden="1">{#N/A,#N/A,FALSE,"DIR-REP";#N/A,#N/A,FALSE,"AUD-REPORT";#N/A,#N/A,FALSE,"P7L&amp;BS";#N/A,#N/A,FALSE,"NOTES";#N/A,#N/A,FALSE,"FA";#N/A,#N/A,FALSE,"NOTES (2)";#N/A,#N/A,FALSE,"Schedule  IV";#N/A,#N/A,FALSE,"Schedule V"}</definedName>
    <definedName name="ELECTRICAL">#REF!</definedName>
    <definedName name="end" hidden="1">{#N/A,#N/A,FALSE,"을지 (4)";#N/A,#N/A,FALSE,"을지 (5)";#N/A,#N/A,FALSE,"을지 (6)"}</definedName>
    <definedName name="eo0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eofjae" hidden="1">{#N/A,#N/A,TRUE,"COVER";#N/A,#N/A,TRUE,"DIR";#N/A,#N/A,TRUE,"AUDIT"}</definedName>
    <definedName name="eotl" hidden="1">{#N/A,#N/A,FALSE,"DIR-REP";#N/A,#N/A,FALSE,"AUD-REPORT";#N/A,#N/A,FALSE,"P7L&amp;BS";#N/A,#N/A,FALSE,"NOTES";#N/A,#N/A,FALSE,"FA";#N/A,#N/A,FALSE,"NOTES (2)";#N/A,#N/A,FALSE,"Schedule  IV";#N/A,#N/A,FALSE,"Schedule V"}</definedName>
    <definedName name="eotlajt" hidden="1">{#N/A,#N/A,TRUE,"COVER";#N/A,#N/A,TRUE,"DIR";#N/A,#N/A,TRUE,"AUDIT"}</definedName>
    <definedName name="eotlse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eots" hidden="1">{#N/A,#N/A,FALSE,"DIR-REP";#N/A,#N/A,FALSE,"AUD-REPORT";#N/A,#N/A,FALSE,"P7L&amp;BS";#N/A,#N/A,FALSE,"NOTES";#N/A,#N/A,FALSE,"FA";#N/A,#N/A,FALSE,"NOTES (2)";#N/A,#N/A,FALSE,"Schedule  IV";#N/A,#N/A,FALSE,"Schedule V"}</definedName>
    <definedName name="epin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pinal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EPMWorkbookOptions_1" hidden="1">"9ysAAB|LCAAAAAAABADtvQdgHEmWJSYvbcp7f0r1StfgdKEIgGATJNiQQBDswYjN5pLsHWlHIymrKoHKZVZlXWYWQMztnbz33nvvvffee||997o7nU4n99//P1xmZAFs9s5K2smeIYCqyB8/fnwfPyIe/x7vFmV6mddNUS0/|2h3vPNRmi|n1axYXnz20bo939799KPf4|g3Th5/t6rfTqrq7Zerlpo2Kb23bB69a4rPPpq37erR3btXV1fjq3v"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10" hidden="1">"rocb/A/7VFsA8TQAA"</definedName>
    <definedName name="EPMWorkbookOptions_2" hidden="1">"jqr64u7ezs3v39/7i|evpPF9k28WyabPlNP/IvjW7|a2PqNc0fXxSLZf5FH2|qU7WdZ0v258s8iv|Mvj6adZm|il9/iJb5NKb7anNF6t1XXBXXzV5/bLOz3OCN83HhNBHR7//s5df/P5PXp68|O7uzu//PX3pYjIbN9lqfDUv6nJVVeV4Wi0e7e/fI1Tp87uT1fTu93//7313l/4hXJqqLGYZ0KG/z7Oyyb//|C5wcZgdr1ZlMc08Kt4aQwMjhO"</definedName>
    <definedName name="EPMWorkbookOptions_3" hidden="1">"J9rAM/CjDpICBkc5RM7w5|9e1iNsuXT4tFvmwY3eGmDtUmaEOtXs|rKwvjpCqr|qit1/nju5EvNr3Ko4i82RudvkhEaPN37bPssqqLlvDi|ZCXe9/d4v1nRd20HgLx7zuALJbDBLptK7/dV8viF61zmesvX7z|/NWXX718fDf29SYoQnMS8fs7u/cOdj0Asdngd7|sZ3l9tPP4rvwShd6syuz6ZV2t8rq9Ptq9/|n983xyvn3/09n|9v7e|cPtg"</definedName>
    <definedName name="EPMWorkbookOptions_4" hidden="1">"/t5vr2T5Xv7s8mD/QeTe|g5fCsC|HnWtK/zkqQ9n32RLyaktCLNQraMNqAm8r5Hpu9ZMn5//L2Xx69OX7z59i79|t2XJMC91gNQv13kdVZP59euaUoa8tGyKD/7CIzzUUeCvHcjc3e7dx/fvWm83yhBPt/fv///dZI8vnsbXvLE4WdVeL96cfbm68vuzs7|wc7O7UV39/|fogsidiT32/|fF93/9/Dp0|M3x69fnXxtNr137/79/f3927Pp3v//"</definedName>
    <definedName name="EPMWorkbookOptions_5" hidden="1">"2FRpGHLp89PPj5/v7vx/nVO/UZocf/X07M2bL98cP///Oln|3yPAz55/|d2vLb2fPtjdOTh4cHvpvff/P|kFAUM2ffb7/4hHv1ke/erFyZuzL18cP//9icrHX5tdySf69NN7997DKdr//yG/hsTsaNjnz58d/4hx/Wa3ajXAuBwm/f7HJydffvXiA1z59w7D7///j20DUoZMe/Ls/|sc|7NAlDdPfkSUHlG||3L7yev/r9Pl/z3q7dXLNydfvSL"</definedName>
    <definedName name="EPMWorkbookOptions_6" hidden="1">"qnvw|P0Tl9un//5SbR0jiUvrfV6|f/n|dTb8xWjx59SNXOmh2q1YDIvvm7IvTH6KsPngPWc3yh5OHD/cfbs8mk3vb|/d3D7Yn5w|y7ezT2b3Jw3v39/bOZ/8vkFVQMLQqezu7||Od3f|vM|k3SpB7PyJISJCd8c69/w8R5GefIPfGu3s/IkjAIT9KG32ztu7V8dOzF58Tld|8OH31Q7R6B|9h9f4/4qGGtOyEmi8pbfQjtvWb3arVANv|5Omr15"</definedName>
    <definedName name="EPMWorkbookOptions_7" hidden="1">"Sf|yHy68P///GrElEiiJ|kxO|P|NNvdqtWA/z5xenx669enb7|ITLo7s7//zjUkFFY9Pd58//5gP8b5NBbNAqwiTd6fPd4tSqLadYSHPt58KlpTtCq5ZIQp8|eZm3GH/sfvqm6g3/8Kj|v82b|5fLLVb48Os/KJn98N/yQ252UeVYD6JfL19llblp2P|a2363qt5Oqekts2TIZTev|F2H7q5nO2uOz5iezusgmZf5FXl84CL3Pf|PEgf1yJdT4f"</definedName>
    <definedName name="EPMWorkbookOptions_8" hidden="1">"wCQ4y1N9ysAAA=="</definedName>
    <definedName name="EPMWorkbookOptions_9" hidden="1">"On39Q5TU3Z3//4mqIaOw6O/z5udtjrlHiPTpq9//5OdtbjUkx8vTV2dfPj37eZt1D6nxEz|SEkuI/39IyTdo1m7RKMAm3ujx3ePVqiymWUtw7OfBp6Y5QauWS0KcPnuatRl/7H/4puoO/vGr/LzOm/mXyy9X|fLoPCub/PHd8ENud1LmWQ2gXy5fZ5e5adn9mNt|t6rfTqrqLdmylsloWve/CNtfzXTWHp81P5nVRTYp8y/y|sJB6H3|GycO7Jc"</definedName>
    <definedName name="eps" hidden="1">#REF!</definedName>
    <definedName name="Erev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ergegdb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Analysis";#N/A,#N/A,FALSE,"Dpc Tango";#N/A,#N/A,FALSE,"Startac Analog";#N/A,#N/A,FALSE,"Mercury CDMA";#N/A,#N/A,FALSE,"Startac CDMA";#N/A,#N/A,FALSE,"Startac TDMA";#N/A,#N/A,FALSE,"Modulus TDMA";#N/A,#N/A,FALSE,"PCS Credit"}</definedName>
    <definedName name="ert" hidden="1">{"'毛利比较'!$A$4:$P$26"}</definedName>
    <definedName name="es" hidden="1">{#N/A,#N/A,FALSE,"Lestrem";#N/A,#N/A,FALSE,"Beinheim";#N/A,#N/A,FALSE,"Vecquemont";#N/A,#N/A,FALSE,"Lestrem+beinheim";#N/A,#N/A,FALSE,"Activite Amidon Usines";#N/A,#N/A,FALSE,"couts mat Rf";#N/A,#N/A,FALSE,"PDT Vecq."}</definedName>
    <definedName name="eseoe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esla" hidden="1">{#N/A,#N/A,FALSE,"DIR-REP";#N/A,#N/A,FALSE,"AUD-REPORT";#N/A,#N/A,FALSE,"P7L&amp;BS";#N/A,#N/A,FALSE,"NOTES";#N/A,#N/A,FALSE,"FA";#N/A,#N/A,FALSE,"NOTES (2)";#N/A,#N/A,FALSE,"Schedule  IV";#N/A,#N/A,FALSE,"Schedule V"}</definedName>
    <definedName name="esot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est_ns" hidden="1">{"ativo analítico",#N/A,FALSE,"BALmar97";"passivo analítico",#N/A,FALSE,"BALmar97";"resultado analítico",#N/A,FALSE,"BALmar97"}</definedName>
    <definedName name="estoq" hidden="1">{"FINANCEIRAS",#N/A,FALSE,"BALmar96"}</definedName>
    <definedName name="etls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EV__LASTREFTIME__" hidden="1">39274.4724884259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q" hidden="1">{"M2Print",#N/A,FALSE,"M2"}</definedName>
    <definedName name="ExactAddinReports" hidden="1">1</definedName>
    <definedName name="ExpenseUpload" hidden="1">{#N/A,#N/A,TRUE,"CPRD";#N/A,#N/A,TRUE,"BCCPDR";#N/A,#N/A,TRUE,"EWRD";#N/A,#N/A,TRUE,"5100";#N/A,#N/A,TRUE,"5110"}</definedName>
    <definedName name="f" hidden="1">#REF!</definedName>
    <definedName name="FAD" hidden="1">#REF!</definedName>
    <definedName name="fagbregqaerf" hidden="1">{#N/A,#N/A,FALSE,"OffAdvance";#N/A,#N/A,FALSE,"OffExpRprt";#N/A,#N/A,FALSE,"Entertmnt";#N/A,#N/A,FALSE,"Promotion";#N/A,#N/A,FALSE,"Travelling"}</definedName>
    <definedName name="Fan" hidden="1">{"'Actual'!$A$1:$F$25"}</definedName>
    <definedName name="Farlington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FASD" hidden="1">#REF!</definedName>
    <definedName name="FCode" hidden="1">#REF!</definedName>
    <definedName name="fd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gdg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hd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dsafdsa" hidden="1">{#N/A,#N/A,FALSE,"1321";#N/A,#N/A,FALSE,"1324";#N/A,#N/A,FALSE,"1333";#N/A,#N/A,FALSE,"1371"}</definedName>
    <definedName name="fdsafsda" hidden="1">{#N/A,#N/A,FALSE,"1321";#N/A,#N/A,FALSE,"1324";#N/A,#N/A,FALSE,"1333";#N/A,#N/A,FALSE,"1371"}</definedName>
    <definedName name="fdsas" hidden="1">{#N/A,#N/A,FALSE,"1321";#N/A,#N/A,FALSE,"1324";#N/A,#N/A,FALSE,"1333";#N/A,#N/A,FALSE,"1371"}</definedName>
    <definedName name="fdsfd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dsfs" hidden="1">{#N/A,#N/A,FALSE,"1321";#N/A,#N/A,FALSE,"1324";#N/A,#N/A,FALSE,"1333";#N/A,#N/A,FALSE,"1371"}</definedName>
    <definedName name="fdsfsdfdsf" hidden="1">#REF!</definedName>
    <definedName name="FEDC" hidden="1">#REF!</definedName>
    <definedName name="feedback" hidden="1">{#N/A,#N/A,TRUE,"CPRD";#N/A,#N/A,TRUE,"BCCPDR";#N/A,#N/A,TRUE,"EWRD";#N/A,#N/A,TRUE,"5100";#N/A,#N/A,TRUE,"5110"}</definedName>
    <definedName name="fefef" hidden="1">#REF!</definedName>
    <definedName name="ferfe" hidden="1">{#N/A,#N/A,TRUE,"Cover";#N/A,#N/A,TRUE,"Comments PCS";#N/A,#N/A,TRUE,"Comments CIG";#N/A,#N/A,TRUE,"Comments IDEN";#N/A,#N/A,TRUE,"BS PCS";#N/A,#N/A,TRUE,"BS CIG";#N/A,#N/A,TRUE,"BS IDEN";#N/A,#N/A,TRUE,"BS TOTAL";#N/A,#N/A,TRUE,"BS_ESG ";#N/A,#N/A,TRUE,"Balance SPS";#N/A,#N/A,TRUE,"BS_CORPORATE";#N/A,#N/A,TRUE,"P&amp;L PCS";#N/A,#N/A,TRUE,"P&amp;L FWT";#N/A,#N/A,TRUE,"P&amp;L CIG";#N/A,#N/A,TRUE,"P&amp;L IDEN";#N/A,#N/A,TRUE,"P&amp;L TOTAL";#N/A,#N/A,TRUE,"P&amp;L_SPS";#N/A,#N/A,TRUE,"P&amp;L_ESG";#N/A,#N/A,TRUE,"P&amp;L_CORP";#N/A,#N/A,TRUE,"Cash Flow PCS";#N/A,#N/A,TRUE,"Cash Flow CIG";#N/A,#N/A,TRUE,"Cash Flow IDEN";#N/A,#N/A,TRUE,"Cash Flow TOTAL";#N/A,#N/A,TRUE,"MBR PCS";#N/A,#N/A,TRUE,"MBR CIG";#N/A,#N/A,TRUE,"MBR iDEN";#N/A,#N/A,TRUE,"MBR_FWT";#N/A,#N/A,TRUE,"MBR TOTAL";#N/A,#N/A,TRUE,"Headcount_PCS ";#N/A,#N/A,TRUE,"Headcount CIG";#N/A,#N/A,TRUE,"Headcount iDEN";#N/A,#N/A,TRUE,"JAG PLANT TREND";#N/A,#N/A,TRUE,"FAB UN CSG ";#N/A,#N/A,TRUE,"FAB UN CIG";#N/A,#N/A,TRUE,"FAB UN PPG";#N/A,#N/A,TRUE,"FAB UN IDEN";#N/A,#N/A,TRUE,"FAB UN FWT";#N/A,#N/A,TRUE,"CSS MFG";#N/A,#N/A,TRUE,"CSS Distr";#N/A,#N/A,TRUE,"CSG 6-Up Charts";#N/A,#N/A,TRUE,"CIG MFG";#N/A,#N/A,TRUE,"IDEN MFG";#N/A,#N/A,TRUE,"IDEN 6-Up Charts  ";#N/A,#N/A,TRUE,"FWT MFG";#N/A,#N/A,TRUE,"FWT 6-Up Charts ";#N/A,#N/A,TRUE,"PCS Inventory";#N/A,#N/A,TRUE,"CIG Inventory";#N/A,#N/A,TRUE,"IDEN Inventory";#N/A,#N/A,TRUE,"FWT Inventory";#N/A,#N/A,TRUE,"CE JAG Inventory";#N/A,#N/A,TRUE,"Capital Expenditures";#N/A,#N/A,TRUE,"FM CSG";#N/A,#N/A,TRUE,"NSAD ASP CGS";#N/A,#N/A,TRUE,"FM CIG";#N/A,#N/A,TRUE,"NSAD ASP CIG";#N/A,#N/A,TRUE,"FM iDEN";#N/A,#N/A,TRUE,"NSAD IDEN";#N/A,#N/A,TRUE,"R&amp;D  Report";#N/A,#N/A,TRUE,"PCS Credit";#N/A,#N/A,TRUE,"PCS Mrg Analysis";#N/A,#N/A,TRUE,"Dpc Tango";#N/A,#N/A,TRUE,"Startac Analog";#N/A,#N/A,TRUE,"Mercury CDMA";#N/A,#N/A,TRUE,"Startac CDMA";#N/A,#N/A,TRUE,"Startac TDMA";#N/A,#N/A,TRUE,"Modulus TDMA";#N/A,#N/A,TRUE,"CIG Mrg Analysis";#N/A,#N/A,TRUE,"IDEN Mrg Analysis"}</definedName>
    <definedName name="ff" hidden="1">{"'W.W. Summary'!$A$1:$K$37"}</definedName>
    <definedName name="fff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ffff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fgh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fiii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IRE">#REF!</definedName>
    <definedName name="fjaeojfa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fjalaslaslfasllaa" hidden="1">{#N/A,#N/A,FALSE,"을지 (4)";#N/A,#N/A,FALSE,"을지 (5)";#N/A,#N/A,FALSE,"을지 (6)"}</definedName>
    <definedName name="fjaoe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jf" hidden="1">{#N/A,#N/A,FALSE,"TAXC.INDEX";#N/A,#N/A,FALSE,"Schedule I";#N/A,#N/A,FALSE,"Schedule  II";#N/A,#N/A,FALSE,"Schedule III"}</definedName>
    <definedName name="fjso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flt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foethnl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orcast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fose" hidden="1">{#N/A,#N/A,FALSE,"DIR-REP";#N/A,#N/A,FALSE,"AUD-REPORT";#N/A,#N/A,FALSE,"P7L&amp;BS";#N/A,#N/A,FALSE,"NOTES";#N/A,#N/A,FALSE,"FA";#N/A,#N/A,FALSE,"NOTES (2)";#N/A,#N/A,FALSE,"Schedule  IV";#N/A,#N/A,FALSE,"Schedule V"}</definedName>
    <definedName name="freqt" hidden="1">{#N/A,#N/A,FALSE,"DIR-REP";#N/A,#N/A,FALSE,"AUD-REPORT";#N/A,#N/A,FALSE,"P7L&amp;BS";#N/A,#N/A,FALSE,"NOTES";#N/A,#N/A,FALSE,"FA";#N/A,#N/A,FALSE,"NOTES (2)";#N/A,#N/A,FALSE,"Schedule  IV";#N/A,#N/A,FALSE,"Schedule V"}</definedName>
    <definedName name="FSE" hidden="1">{#N/A,#N/A,TRUE,"Cover Memo";"Ride Estimate",#N/A,TRUE,"Change Summary";"Ride Estimate",#N/A,TRUE,"Estimate Summary";"Ride Estimate",#N/A,TRUE,"Dept. Summary";"Ride Estimate",#N/A,TRUE,"DOW Detail"}</definedName>
    <definedName name="FSED" hidden="1">{#N/A,#N/A,TRUE,"Cover Memo";"Ride Estimate",#N/A,TRUE,"Change Summary";"Ride Estimate",#N/A,TRUE,"Estimate Summary";"Ride Estimate",#N/A,TRUE,"Dept. Summary";"Ride Estimate",#N/A,TRUE,"DOW Detail"}</definedName>
    <definedName name="fseo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FSFE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umanduo" hidden="1">#REF!</definedName>
    <definedName name="fung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fvsdvdsdsfd" hidden="1">#REF!</definedName>
    <definedName name="fx">#REF!</definedName>
    <definedName name="FX_Er_DEM">#REF!</definedName>
    <definedName name="FX_rate">#REF!</definedName>
    <definedName name="gadfe4gq" hidden="1">{#N/A,#N/A,FALSE,"OffAdvance";#N/A,#N/A,FALSE,"OffExpRprt";#N/A,#N/A,FALSE,"Travelling";#N/A,#N/A,FALSE,"Entertmnt";#N/A,#N/A,FALSE,"Promotion"}</definedName>
    <definedName name="gay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general" hidden="1">#REF!</definedName>
    <definedName name="ger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erdgw" hidden="1">{#N/A,#N/A,TRUE,"COVER";#N/A,#N/A,TRUE,"DIR";#N/A,#N/A,TRUE,"AUDIT"}</definedName>
    <definedName name="GES_LIST" hidden="1">#REF!</definedName>
    <definedName name="GETDataArea" hidden="1">#REF!</definedName>
    <definedName name="gf" hidden="1">{"preco1",#N/A,TRUE,"Analise preços";"peq",#N/A,TRUE,"Analise preços";"resu",#N/A,TRUE,"TOTAL"}</definedName>
    <definedName name="gfesres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ffes" hidden="1">{#VALUE!,#N/A,FALSE,0}</definedName>
    <definedName name="gft" hidden="1">{"'毛利比较'!$A$4:$P$26"}</definedName>
    <definedName name="ggg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ggggg" hidden="1">{#N/A,#N/A,TRUE,"Cover Memo";"Ride Estimate",#N/A,TRUE,"Change Summary";"Ride Estimate",#N/A,TRUE,"Estimate Summary";"Ride Estimate",#N/A,TRUE,"Dept. Summary";"Ride Estimate",#N/A,TRUE,"DOW Detail"}</definedName>
    <definedName name="ghdhr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jaeofjfa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gjaeoj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foe" hidden="1">{#N/A,#N/A,TRUE,"COVER";#N/A,#N/A,TRUE,"DIR";#N/A,#N/A,TRUE,"AUDIT"}</definedName>
    <definedName name="gjafoeaf" hidden="1">{#N/A,#N/A,FALSE,"DIR-REP";#N/A,#N/A,FALSE,"AUD-REPORT";#N/A,#N/A,FALSE,"P7L&amp;BS";#N/A,#N/A,FALSE,"NOTES";#N/A,#N/A,FALSE,"FA";#N/A,#N/A,FALSE,"NOTES (2)";#N/A,#N/A,FALSE,"Schedule  IV";#N/A,#N/A,FALSE,"Schedule V"}</definedName>
    <definedName name="gjafoejf" hidden="1">{#N/A,#N/A,FALSE,"DIR-REP";#N/A,#N/A,FALSE,"AUD-REPORT";#N/A,#N/A,FALSE,"P7L&amp;BS";#N/A,#N/A,FALSE,"NOTES";#N/A,#N/A,FALSE,"FA";#N/A,#N/A,FALSE,"NOTES (2)";#N/A,#N/A,FALSE,"Schedule  IV";#N/A,#N/A,FALSE,"Schedule V"}</definedName>
    <definedName name="gjafoejfa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jafo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jeof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gjaoejfa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gjeo" hidden="1">{#N/A,#N/A,FALSE,"DIR-REP";#N/A,#N/A,FALSE,"AUD-REPORT";#N/A,#N/A,FALSE,"P7L&amp;BS";#N/A,#N/A,FALSE,"NOTES";#N/A,#N/A,FALSE,"FA";#N/A,#N/A,FALSE,"NOTES (2)";#N/A,#N/A,FALSE,"Schedule  IV";#N/A,#N/A,FALSE,"Schedule V"}</definedName>
    <definedName name="gjos" hidden="1">{#N/A,#N/A,FALSE,"TAXC.INDEX";#N/A,#N/A,FALSE,"Schedule I";#N/A,#N/A,FALSE,"Schedule  II";#N/A,#N/A,FALSE,"Schedule III"}</definedName>
    <definedName name="glot" hidden="1">{#N/A,#N/A,FALSE,"DIR-REP";#N/A,#N/A,FALSE,"AUD-REPORT";#N/A,#N/A,FALSE,"P7L&amp;BS";#N/A,#N/A,FALSE,"NOTES";#N/A,#N/A,FALSE,"FA";#N/A,#N/A,FALSE,"NOTES (2)";#N/A,#N/A,FALSE,"Schedule  IV";#N/A,#N/A,FALSE,"Schedule V"}</definedName>
    <definedName name="goeng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GP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PRC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GR" hidden="1">{"CAPA GERENCIAL",#N/A,TRUE,"capa (2)";"CAPITAL 2001",#N/A,TRUE,"capital (2)";"INDICES2001",#N/A,TRUE,"índices bal (2)";"BAL(B)2001",#N/A,TRUE,"BAL B (2)";"BANAL(B)2001",#N/A,TRUE,"B.analítico B (2)";"RESULTADO 03",#N/A,TRUE,"resultado";"RESULTADO mes a mes(B)2001",#N/A,TRUE,"mês a mês (2)";"MUTAÇÃO(B)2001",#N/A,TRUE,"mutação B (2)";"DOAR(B)2001",#N/A,TRUE,"DOAR B (2)";"ESTOQUE(B)2001",#N/A,TRUE,"estoque";"PERMANENTE(B)2001",#N/A,TRUE,"permanente B (2)";"PERFIL(B)2001",#N/A,TRUE,"PERFIL B (2)";"PROVI2001",#N/A,TRUE,"provisões";"CAPA ANÁLISE",#N/A,TRUE,"capa (2)";"PRODUÇÃO 03",#N/A,TRUE,"produção";"ESTOQUEPA 03",#N/A,TRUE,"estoque pa";"VOLUME 03",#N/A,TRUE,"volume";"MIX 03",#N/A,TRUE,"mix";"ESTOQUE PA(2)2001",#N/A,TRUE,"estoque pa (2)";"ANALISE 03",#N/A,TRUE,"análise";"LBRUTO2001",#N/A,TRUE,"lb2001";"DESPESAS2001",#N/A,TRUE,"Desp2000-01";"FINANCEIRAS 03",#N/A,TRUE,"financeiras";"EBITDA 03",#N/A,TRUE,"ebitda";"FLUXO(B)2001",#N/A,TRUE,"FLUXO B (2)";"DIVIDA2001",#N/A,TRUE,"dívida";"CAPA CONTROLADORA",#N/A,TRUE,"capa (2)";"BAL(A)2001",#N/A,TRUE,"BAL A (2)";"RESULTADO mes a mes(A)2001",#N/A,TRUE,"mês a mês (2)";"MUTAÇÃO(A)2001",#N/A,TRUE,"mutação A (2)";"DOAR(A)2001",#N/A,TRUE,"DOAR A (2)";"FLUXO(A)2001",#N/A,TRUE,"FLUXO A";"ESTOQUE(A)2001",#N/A,TRUE,"estoque";"PERMANENTE(A)2001",#N/A,TRUE,"permanente A (2)";"PERFIL(A)2001",#N/A,TRUE,"PERFIL A (2)";"EQUIVALÊNCIA2001",#N/A,TRUE,"equyt";"CAPA CONTROLADAS",#N/A,TRUE,"capa (2)";"BAL(AMER)2001",#N/A,TRUE,"B.America (2)";"RESULTADO(AMER)2001",#N/A,TRUE,"mês a mês (2)";"BAL(TRAD)2001",#N/A,TRUE,"B.Trading (2)";"RESULTADO(TRAD)2001",#N/A,TRUE,"mês a mês (2)"}</definedName>
    <definedName name="graph_bincome2" hidden="1">#N/A</definedName>
    <definedName name="Graph_Xdriver" hidden="1">#N/A</definedName>
    <definedName name="gs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guestroom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haha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appy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harlow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hay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HdctTrnd" hidden="1">{#N/A,#N/A,TRUE,"CPRD";#N/A,#N/A,TRUE,"BCCPDR";#N/A,#N/A,TRUE,"EWRD";#N/A,#N/A,TRUE,"5100";#N/A,#N/A,TRUE,"5110"}</definedName>
    <definedName name="hdfhfjf" hidden="1">{#N/A,#N/A,TRUE,"assumtions";#N/A,#N/A,TRUE,"CF";#N/A,#N/A,TRUE,"BS";#N/A,#N/A,TRUE,"P&amp;L";#N/A,#N/A,TRUE,"BEP";#N/A,#N/A,TRUE,"CapEx, Depr, Bookvalues";#N/A,#N/A,TRUE,"R65";#N/A,#N/A,TRUE,"Labor";#N/A,#N/A,TRUE,"PG1";#N/A,#N/A,TRUE,"R380";#N/A,#N/A,TRUE,"TTL";#N/A,#N/A,TRUE,"P&amp;L Purchase";#N/A,#N/A,TRUE,"balance sheet";#N/A,#N/A,TRUE,"Multiples";#N/A,#N/A,TRUE,"volume";#N/A,#N/A,TRUE,"balance sheet"}</definedName>
    <definedName name="hdr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dtfd" hidden="1">{#N/A,#N/A,FALSE,"DIR-REP";#N/A,#N/A,FALSE,"AUD-REPORT";#N/A,#N/A,FALSE,"P7L&amp;BS";#N/A,#N/A,FALSE,"NOTES";#N/A,#N/A,FALSE,"FA";#N/A,#N/A,FALSE,"NOTES (2)";#N/A,#N/A,FALSE,"Schedule  IV";#N/A,#N/A,FALSE,"Schedule V"}</definedName>
    <definedName name="Headcount_SPS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hello" hidden="1">{#N/A,#N/A,FALSE,"970301";#N/A,#N/A,FALSE,"970302";#N/A,#N/A,FALSE,"970303";#N/A,#N/A,FALSE,"970304";#N/A,#N/A,FALSE,"COM1";#N/A,#N/A,FALSE,"COM2"}</definedName>
    <definedName name="help" hidden="1">{"'Actual'!$A$1:$F$25"}</definedName>
    <definedName name="henry" hidden="1">{#N/A,#N/A,FALSE,"Ocean";#N/A,#N/A,FALSE,"NewYork";#N/A,#N/A,FALSE,"Gateway";#N/A,#N/A,FALSE,"GVH";#N/A,#N/A,FALSE,"GVM";#N/A,#N/A,FALSE,"GVT"}</definedName>
    <definedName name="hgdrd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hh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hhjhh" hidden="1">#REF!</definedName>
    <definedName name="HiddenRows" hidden="1">#REF!</definedName>
    <definedName name="hjf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jk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hk" hidden="1">{"'毛利比较'!$A$4:$P$26"}</definedName>
    <definedName name="hrthrtde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ht" hidden="1">{"'毛利比较'!$A$4:$P$26"}</definedName>
    <definedName name="HTML_CodePage" hidden="1">1252</definedName>
    <definedName name="HTML_Control" hidden="1">{"'W.W. Summary'!$A$1:$K$37"}</definedName>
    <definedName name="HtML_Controlb" hidden="1">{"'Actual'!$A$1:$F$25"}</definedName>
    <definedName name="HTML_Description" hidden="1">""</definedName>
    <definedName name="HTML_Email" hidden="1">""</definedName>
    <definedName name="HTML_Greg" hidden="1">{"'Actual'!$A$1:$F$25"}</definedName>
    <definedName name="HTML_Header" hidden="1">""</definedName>
    <definedName name="HTML_LastUpdate" hidden="1">"11/3/00"</definedName>
    <definedName name="HTML_LineAfter" hidden="1">FALSE</definedName>
    <definedName name="HTML_LineBefore" hidden="1">FALSE</definedName>
    <definedName name="HTML_Name" hidden="1">"Charles McGovern"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"C:\FinanceWebSite\USdetails.htm"</definedName>
    <definedName name="HTML_PathTemplate" hidden="1">"Z:\2000 seasonalized\htmlfiles\TESTBORDER.HTM"</definedName>
    <definedName name="HTML_Title" hidden="1">""</definedName>
    <definedName name="HTML1_11" hidden="1">1</definedName>
    <definedName name="HTML1_12" hidden="1">"C:\Irasia\mactopc\firstpachk\webpages\page 58 p and l 0713c.htm"</definedName>
    <definedName name="HTML1_2" hidden="1">-4146</definedName>
    <definedName name="HTML1_3" hidden="1">"C:\Irasia\mactopc\firstpachk\webpages\page 58 p and l 0713b.htm"</definedName>
    <definedName name="HTML2_11" hidden="1">1</definedName>
    <definedName name="HTML2_12" hidden="1">"C:\Irasia\mactopc\firstpachk\webpages\page 58 p and l 0713b.htm"</definedName>
    <definedName name="HTML2_2" hidden="1">-4146</definedName>
    <definedName name="HTML2_3" hidden="1">"C:\Irasia\mactopc\firstpachk\webpages\page 58 p and l 0713.htm"</definedName>
    <definedName name="HTMLCount" hidden="1">1</definedName>
    <definedName name="HV">#REF!</definedName>
    <definedName name="hvuvv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hy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hy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iay" hidden="1">{#N/A,#N/A,FALSE,"DIR-REP";#N/A,#N/A,FALSE,"AUD-REPORT";#N/A,#N/A,FALSE,"P7L&amp;BS";#N/A,#N/A,FALSE,"NOTES";#N/A,#N/A,FALSE,"FA";#N/A,#N/A,FALSE,"NOTES (2)";#N/A,#N/A,FALSE,"Schedule  IV";#N/A,#N/A,FALSE,"Schedule V"}</definedName>
    <definedName name="ii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III" hidden="1">{#N/A,#N/A,TRUE,"Cover Memo";"Facility Estimate",#N/A,TRUE,"Change Summary";"Facility Estimate",#N/A,TRUE,"Estimate Summary";"Facility Estimate",#N/A,TRUE,"Dept. Summary";"Facility Estimate",#N/A,TRUE,"DOW Detail"}</definedName>
    <definedName name="Impairmen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oo" hidden="1">{"'毛利比较'!$A$4:$P$26"}</definedName>
    <definedName name="ipou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PAYOUT" hidden="1">"c3005"</definedName>
    <definedName name="IQ_DISTRIBUTABLE_CASH_SHARE" hidden="1">"c3003"</definedName>
    <definedName name="IQ_DIV_AMOUNT" hidden="1">"c3041"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ITDAR" hidden="1">"c2989"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"06/27/2022 08:50:24"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REVISION_DATE_" hidden="1">39097.571875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DA" hidden="1">"c2381"</definedName>
    <definedName name="IQ_TR_ACQ_FILING_CURRENCY" hidden="1">"c3033"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DA" hidden="1">"c2334"</definedName>
    <definedName name="IQ_TR_TARGET_FILING_CURRENCY" hidden="1">"c3034"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"iQShowQuarterlyAnnual"</definedName>
    <definedName name="itjo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IV" hidden="1">{#N/A,#N/A,TRUE,"Cover Memo";"Ride Estimate",#N/A,TRUE,"Change Summary";"Ride Estimate",#N/A,TRUE,"Estimate Summary";"Ride Estimate",#N/A,TRUE,"Dept. Summary";"Ride Estimate",#N/A,TRUE,"DOW Detail"}</definedName>
    <definedName name="j" hidden="1">{#N/A,#N/A,FALSE,"1321";#N/A,#N/A,FALSE,"1324";#N/A,#N/A,FALSE,"1333";#N/A,#N/A,FALSE,"1371"}</definedName>
    <definedName name="jafjeofj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afo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l" hidden="1">{#N/A,#N/A,FALSE,"TAXC.INDEX";#N/A,#N/A,FALSE,"Schedule I";#N/A,#N/A,FALSE,"Schedule  II";#N/A,#N/A,FALSE,"Schedule III"}</definedName>
    <definedName name="janeiro1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jaos" hidden="1">{#N/A,#N/A,FALSE,"DIR-REP";#N/A,#N/A,FALSE,"AUD-REPORT";#N/A,#N/A,FALSE,"P7L&amp;BS";#N/A,#N/A,FALSE,"NOTES";#N/A,#N/A,FALSE,"FA";#N/A,#N/A,FALSE,"NOTES (2)";#N/A,#N/A,FALSE,"Schedule  IV";#N/A,#N/A,FALSE,"Schedule V"}</definedName>
    <definedName name="japo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aso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ay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bao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aofe" hidden="1">{#N/A,#N/A,FALSE,"TAXC.INDEX";#N/A,#N/A,FALSE,"Schedule I";#N/A,#N/A,FALSE,"Schedule  II";#N/A,#N/A,FALSE,"Schedule III"}</definedName>
    <definedName name="jbo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boejaf" hidden="1">{#N/A,#N/A,FALSE,"DIR-REP";#N/A,#N/A,FALSE,"AUD-REPORT";#N/A,#N/A,FALSE,"P7L&amp;BS";#N/A,#N/A,FALSE,"NOTES";#N/A,#N/A,FALSE,"FA";#N/A,#N/A,FALSE,"NOTES (2)";#N/A,#N/A,FALSE,"Schedule  IV";#N/A,#N/A,FALSE,"Schedule V"}</definedName>
    <definedName name="jbos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bvod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co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cof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cog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dfslsajdflasdkjpf" hidden="1">{#N/A,#N/A,FALSE,"OffAdvance";#N/A,#N/A,FALSE,"OffExpRprt";#N/A,#N/A,FALSE,"Entertmnt";#N/A,#N/A,FALSE,"Promotion";#N/A,#N/A,FALSE,"Travelling"}</definedName>
    <definedName name="jdhdhd" hidden="1">{#N/A,#N/A,FALSE,"1321";#N/A,#N/A,FALSE,"1324";#N/A,#N/A,FALSE,"1333";#N/A,#N/A,FALSE,"1371"}</definedName>
    <definedName name="jfaoej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jgaoejf" hidden="1">{#N/A,#N/A,FALSE,"TAXC.INDEX";#N/A,#N/A,FALSE,"Schedule I";#N/A,#N/A,FALSE,"Schedule  II";#N/A,#N/A,FALSE,"Schedule III"}</definedName>
    <definedName name="jgaoejf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gaof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gaofen" hidden="1">{#N/A,#N/A,FALSE,"DIR-REP";#N/A,#N/A,FALSE,"AUD-REPORT";#N/A,#N/A,FALSE,"P7L&amp;BS";#N/A,#N/A,FALSE,"NOTES";#N/A,#N/A,FALSE,"FA";#N/A,#N/A,FALSE,"NOTES (2)";#N/A,#N/A,FALSE,"Schedule  IV";#N/A,#N/A,FALSE,"Schedule V"}</definedName>
    <definedName name="jgaofje" hidden="1">{#N/A,#N/A,FALSE,"DIR-REP";#N/A,#N/A,FALSE,"AUD-REPORT";#N/A,#N/A,FALSE,"P7L&amp;BS";#N/A,#N/A,FALSE,"NOTES";#N/A,#N/A,FALSE,"FA";#N/A,#N/A,FALSE,"NOTES (2)";#N/A,#N/A,FALSE,"Schedule  IV";#N/A,#N/A,FALSE,"Schedule V"}</definedName>
    <definedName name="jgaojef" hidden="1">{#N/A,#N/A,FALSE,"TAXC.INDEX";#N/A,#N/A,FALSE,"Schedule I";#N/A,#N/A,FALSE,"Schedule  II";#N/A,#N/A,FALSE,"Schedule III"}</definedName>
    <definedName name="jhg" hidden="1">{"'毛利比较'!$A$4:$P$26"}</definedName>
    <definedName name="ji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IE" hidden="1">{#N/A,#N/A,FALSE,"DIR-REP";#N/A,#N/A,FALSE,"AUD-REPORT";#N/A,#N/A,FALSE,"P7L&amp;BS";#N/A,#N/A,FALSE,"NOTES";#N/A,#N/A,FALSE,"FA";#N/A,#N/A,FALSE,"NOTES (2)";#N/A,#N/A,FALSE,"Schedule  IV";#N/A,#N/A,FALSE,"Schedule V"}</definedName>
    <definedName name="jjj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jjj" hidden="1">{#N/A,#N/A,FALSE,"TAXC.INDEX";#N/A,#N/A,FALSE,"Schedule I";#N/A,#N/A,FALSE,"Schedule  II";#N/A,#N/A,FALSE,"Schedule III"}</definedName>
    <definedName name="jjjj2" hidden="1">{#N/A,#N/A,FALSE,"TAXC.INDEX";#N/A,#N/A,FALSE,"Schedule I";#N/A,#N/A,FALSE,"Schedule  II";#N/A,#N/A,FALSE,"Schedule III"}</definedName>
    <definedName name="jkh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kjij" hidden="1">#REF!</definedName>
    <definedName name="jkjkjkj">#REF!</definedName>
    <definedName name="jkjljl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jku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jn" hidden="1">{#N/A,#N/A,FALSE,"TAXC.INDEX";#N/A,#N/A,FALSE,"Schedule I";#N/A,#N/A,FALSE,"Schedule  II";#N/A,#N/A,FALSE,"Schedule III"}</definedName>
    <definedName name="job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jodfjeog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odl" hidden="1">{#N/A,#N/A,FALSE,"TAXC.INDEX";#N/A,#N/A,FALSE,"Schedule I";#N/A,#N/A,FALSE,"Schedule  II";#N/A,#N/A,FALSE,"Schedule III"}</definedName>
    <definedName name="joejas" hidden="1">{#N/A,#N/A,FALSE,"DIR-REP";#N/A,#N/A,FALSE,"AUD-REPORT";#N/A,#N/A,FALSE,"P7L&amp;BS";#N/A,#N/A,FALSE,"NOTES";#N/A,#N/A,FALSE,"FA";#N/A,#N/A,FALSE,"NOTES (2)";#N/A,#N/A,FALSE,"Schedule  IV";#N/A,#N/A,FALSE,"Schedule V"}</definedName>
    <definedName name="John" hidden="1">{#N/A,#N/A,FALSE,"wip"}</definedName>
    <definedName name="jolt" hidden="1">{#N/A,#N/A,FALSE,"DIR-REP";#N/A,#N/A,FALSE,"AUD-REPORT";#N/A,#N/A,FALSE,"P7L&amp;BS";#N/A,#N/A,FALSE,"NOTES";#N/A,#N/A,FALSE,"FA";#N/A,#N/A,FALSE,"NOTES (2)";#N/A,#N/A,FALSE,"Schedule  IV";#N/A,#N/A,FALSE,"Schedule V"}</definedName>
    <definedName name="jo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jseoag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jsjsj" hidden="1">#REF!</definedName>
    <definedName name="jsoe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ju" hidden="1">{"'毛利比较'!$A$4:$P$26"}</definedName>
    <definedName name="jxol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2_WBEVMODE" hidden="1">-1</definedName>
    <definedName name="kal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ath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kathy" hidden="1">{#N/A,#N/A,FALSE,"wip"}</definedName>
    <definedName name="kathyf" hidden="1">{#N/A,#N/A,FALSE,"wip"}</definedName>
    <definedName name="kay" hidden="1">{#N/A,#N/A,FALSE,"DIR-REP";#N/A,#N/A,FALSE,"AUD-REPORT";#N/A,#N/A,FALSE,"P7L&amp;BS";#N/A,#N/A,FALSE,"NOTES";#N/A,#N/A,FALSE,"FA";#N/A,#N/A,FALSE,"NOTES (2)";#N/A,#N/A,FALSE,"Schedule  IV";#N/A,#N/A,FALSE,"Schedule V"}</definedName>
    <definedName name="kbkj" hidden="1">{#N/A,#N/A,FALSE,"TAXC.INDEX";#N/A,#N/A,FALSE,"Schedule I";#N/A,#N/A,FALSE,"Schedule  II";#N/A,#N/A,FALSE,"Schedule III"}</definedName>
    <definedName name="kcg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ch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e" hidden="1">{#N/A,#N/A,FALSE,"DIR-REP";#N/A,#N/A,FALSE,"AUD-REPORT";#N/A,#N/A,FALSE,"P7L&amp;BS";#N/A,#N/A,FALSE,"NOTES";#N/A,#N/A,FALSE,"FA";#N/A,#N/A,FALSE,"NOTES (2)";#N/A,#N/A,FALSE,"Schedule  IV";#N/A,#N/A,FALSE,"Schedule V"}</definedName>
    <definedName name="Kempshott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key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EYY" hidden="1">#REF!</definedName>
    <definedName name="khbkl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ki" hidden="1">{"'毛利比较'!$A$4:$P$26"}</definedName>
    <definedName name="kijblb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kio" hidden="1">{"'毛利比较'!$A$4:$P$26"}</definedName>
    <definedName name="ki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kj" hidden="1">{#N/A,#N/A,FALSE,"TAXC.INDEX";#N/A,#N/A,FALSE,"Schedule I";#N/A,#N/A,FALSE,"Schedule  II";#N/A,#N/A,FALSE,"Schedule III"}</definedName>
    <definedName name="kk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kkh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kkk" hidden="1">{#N/A,#N/A,FALSE,"OffAdvance";#N/A,#N/A,FALSE,"OffExpRprt";#N/A,#N/A,FALSE,"Entertmnt";#N/A,#N/A,FALSE,"Promotion";#N/A,#N/A,FALSE,"Travelling"}</definedName>
    <definedName name="klf" hidden="1">{#N/A,#N/A,FALSE,"wip"}</definedName>
    <definedName name="kn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ko" hidden="1">{"'毛利比较'!$A$4:$P$26"}</definedName>
    <definedName name="KPFS" hidden="1">{"'毛利比较'!$A$4:$P$26"}</definedName>
    <definedName name="ksp" hidden="1">{#N/A,#N/A,FALSE,"TAXC.INDEX";#N/A,#N/A,FALSE,"Schedule I";#N/A,#N/A,FALSE,"Schedule  II";#N/A,#N/A,FALSE,"Schedule III"}</definedName>
    <definedName name="ky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kyd.ChngCell.01." hidden="1">#REF!</definedName>
    <definedName name="kyd.CounterLimitCell.01." hidden="1">"x"</definedName>
    <definedName name="kyd.Dim.01." hidden="1">"local:Company"</definedName>
    <definedName name="kyd.ElementList.01." hidden="1">#REF!</definedName>
    <definedName name="kyd.ElementType.01." hidden="1">3</definedName>
    <definedName name="kyd.ItemType.01." hidden="1">2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"FormatReport"</definedName>
    <definedName name="kyd.MacroEndOfEachCycle." hidden="1">""</definedName>
    <definedName name="kyd.MacroStartOfProc." hidden="1">""</definedName>
    <definedName name="kyd.MemoCtrlNum." hidden="1">0</definedName>
    <definedName name="kyd.MemoSortHide." hidden="1">FALSE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Memo." hidden="1">FALSE</definedName>
    <definedName name="kyd.PrintParent.01." hidden="1">TRUE</definedName>
    <definedName name="kyd.PrintStdAlertCell." hidden="1">#REF!</definedName>
    <definedName name="kyd.PrintStdWhen." hidden="1">3</definedName>
    <definedName name="kyd.PrintToWbk." hidden="1">FALSE</definedName>
    <definedName name="kyd.ProcessInCycle." hidden="1">FALSE</definedName>
    <definedName name="kyd.SaveAsFile." hidden="1">FALSE</definedName>
    <definedName name="kyd.SaveMemo." hidden="1">FALSE</definedName>
    <definedName name="kyd.SelectString.01." hidden="1">"*"</definedName>
    <definedName name="kyd.ServerCell." hidden="1">#REF!</definedName>
    <definedName name="kyd.Shortcut." hidden="1">FALSE</definedName>
    <definedName name="kyd.StdSortHide." hidden="1">FALSE</definedName>
    <definedName name="kyd.StopRow." hidden="1">65536</definedName>
    <definedName name="kyd.WriteMemWhenOptn." hidden="1">3</definedName>
    <definedName name="lay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lf" hidden="1">#REF!</definedName>
    <definedName name="lg" hidden="1">{"M7_1Print",#N/A,TRUE,"M7_1";"M7_2Print",#N/A,TRUE,"M7_2"}</definedName>
    <definedName name="limcount" hidden="1">1</definedName>
    <definedName name="lisa" hidden="1">#REF!</definedName>
    <definedName name="list2" hidden="1">{"'Welcome'!$A$1:$J$27"}</definedName>
    <definedName name="ljmk" hidden="1">#REF!</definedName>
    <definedName name="LKJ" hidden="1">{#N/A,#N/A,FALSE,"을지 (4)";#N/A,#N/A,FALSE,"을지 (5)";#N/A,#N/A,FALSE,"을지 (6)"}</definedName>
    <definedName name="ll" hidden="1">#REF!</definedName>
    <definedName name="lll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lllllll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M" hidden="1">#REF!</definedName>
    <definedName name="lo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ois" hidden="1">{"'Actual'!$A$1:$F$25"}</definedName>
    <definedName name="LOis_Greg" hidden="1">{"'Actual'!$A$1:$F$25"}</definedName>
    <definedName name="loo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LotusGraphChart1" hidden="1">#REF!</definedName>
    <definedName name="lotusgraphchart1b" hidden="1">#REF!</definedName>
    <definedName name="lotusgraphchart1x" hidden="1">#REF!</definedName>
    <definedName name="lp" hidden="1">{"'毛利比较'!$A$4:$P$26"}</definedName>
    <definedName name="lu" hidden="1">{"M1sPrint",#N/A,FALSE,"M1s"}</definedName>
    <definedName name="luca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luk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m" hidden="1">#REF!</definedName>
    <definedName name="M_PlaceofPath" hidden="1">"F:\danders\COMPANY\HET\HET_VDF.XLS"</definedName>
    <definedName name="mbnv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BR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MBR_CGISS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MBR_FWT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MECHANICAL">#REF!</definedName>
    <definedName name="mj" hidden="1">{"'毛利比较'!$A$4:$P$26"}</definedName>
    <definedName name="mmmm" hidden="1">{#N/A,#N/A,FALSE,"DIR-REP";#N/A,#N/A,FALSE,"AUD-REPORT";#N/A,#N/A,FALSE,"P7L&amp;BS";#N/A,#N/A,FALSE,"NOTES";#N/A,#N/A,FALSE,"FA";#N/A,#N/A,FALSE,"NOTES (2)";#N/A,#N/A,FALSE,"Schedule  IV";#N/A,#N/A,FALSE,"Schedule V"}</definedName>
    <definedName name="mmmm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mmmmm" hidden="1">{"'Actual'!$A$1:$F$25"}</definedName>
    <definedName name="mmmmmmmm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mn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mnb" hidden="1">{"'毛利比较'!$A$4:$P$26"}</definedName>
    <definedName name="mnj" hidden="1">{"'毛利比较'!$A$4:$P$26"}</definedName>
    <definedName name="mou" hidden="1">{"'毛利比较'!$A$4:$P$26"}</definedName>
    <definedName name="MP" hidden="1">{#N/A,#N/A,FALSE,"1321";#N/A,#N/A,FALSE,"1324";#N/A,#N/A,FALSE,"1333";#N/A,#N/A,FALSE,"1371"}</definedName>
    <definedName name="MS.CreatedAt" hidden="1">"30.06.1998 12:21:08"</definedName>
    <definedName name="MS.CreatedBy" hidden="1">"JMA"</definedName>
    <definedName name="MS.Customer1" hidden="1">"EDEKA Handelsgesellschaft"</definedName>
    <definedName name="MS.Customer2" hidden="1">"Südbayern GmbH"</definedName>
    <definedName name="MS.Customer3" hidden="1">"Ingolstädter Straße 120"</definedName>
    <definedName name="MS.Customer4" hidden="1">"      Ingolstadt"</definedName>
    <definedName name="MS.ModifiedAt" hidden="1">"16.11.1998 15:12:39"</definedName>
    <definedName name="MS.ModifiedBy" hidden="1">"JMA"</definedName>
    <definedName name="MS.Title" hidden="1">"MIS - Umsatz"</definedName>
    <definedName name="MS.Version" hidden="1">"2.2"</definedName>
    <definedName name="n" hidden="1">{#N/A,#N/A,FALSE,"1321";#N/A,#N/A,FALSE,"1324";#N/A,#N/A,FALSE,"1333";#N/A,#N/A,FALSE,"1371"}</definedName>
    <definedName name="Namenskonflikt" hidden="1">{#N/A,#N/A,TRUE,"assumtions";#N/A,#N/A,TRUE,"CF";#N/A,#N/A,TRUE,"BS";#N/A,#N/A,TRUE,"P&amp;L";#N/A,#N/A,TRUE,"BEP";#N/A,#N/A,TRUE,"CapEx, Depr, Bookvalues";#N/A,#N/A,TRUE,"R65";#N/A,#N/A,TRUE,"Labor";#N/A,#N/A,TRUE,"PG1";#N/A,#N/A,TRUE,"R380";#N/A,#N/A,TRUE,"TTL";#N/A,#N/A,TRUE,"P&amp;L Purchase";#N/A,#N/A,TRUE,"balance sheet";#N/A,#N/A,TRUE,"Multiples";#N/A,#N/A,TRUE,"volume";#N/A,#N/A,TRUE,"balance sheet"}</definedName>
    <definedName name="Namenskonflikt2" hidden="1">{#N/A,#N/A,TRUE,"CF";#N/A,#N/A,TRUE,"BS";#N/A,#N/A,TRUE,"P&amp;L";#N/A,#N/A,TRUE,"R65";#N/A,#N/A,TRUE,"Labor";#N/A,#N/A,TRUE,"CapEx, Depr, Bookvalues";#N/A,#N/A,TRUE,"assumtions"}</definedName>
    <definedName name="nb" hidden="1">{"'毛利比较'!$A$4:$P$26"}</definedName>
    <definedName name="new" hidden="1">{#N/A,#N/A,FALSE,"Jan"}</definedName>
    <definedName name="ng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nh" hidden="1">{"'毛利比较'!$A$4:$P$26"}</definedName>
    <definedName name="nji" hidden="1">{"'毛利比较'!$A$4:$P$26"}</definedName>
    <definedName name="njk" hidden="1">{"'毛利比较'!$A$4:$P$26"}</definedName>
    <definedName name="nm" hidden="1">{"'毛利比较'!$A$4:$P$26"}</definedName>
    <definedName name="nnn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nnnn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nnnnm">#REF!</definedName>
    <definedName name="nnnnnnnn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NOT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e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notused" hidden="1">{#N/A,#N/A,TRUE,"CPRD";#N/A,#N/A,TRUE,"BCCPDR";#N/A,#N/A,TRUE,"EWRD";#N/A,#N/A,TRUE,"5100";#N/A,#N/A,TRUE,"5110"}</definedName>
    <definedName name="novasoc_12" hidden="1">{"ATI",#N/A,TRUE,"BALabr97";"PAS",#N/A,TRUE,"BALabr97";"REC",#N/A,TRUE,"BALabr97"}</definedName>
    <definedName name="nty" hidden="1">{"'毛利比较'!$A$4:$P$26"}</definedName>
    <definedName name="nu\" hidden="1">{"'毛利比较'!$A$4:$P$26"}</definedName>
    <definedName name="ny" hidden="1">{"'毛利比较'!$A$4:$P$26"}</definedName>
    <definedName name="oawl" hidden="1">{#N/A,#N/A,FALSE,"TAXC.INDEX";#N/A,#N/A,FALSE,"Schedule I";#N/A,#N/A,FALSE,"Schedule  II";#N/A,#N/A,FALSE,"Schedule III"}</definedName>
    <definedName name="oay" hidden="1">{#N/A,#N/A,FALSE,"TAXC.INDEX";#N/A,#N/A,FALSE,"Schedule I";#N/A,#N/A,FALSE,"Schedule  II";#N/A,#N/A,FALSE,"Schedule III"}</definedName>
    <definedName name="objd\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oclt" hidden="1">{#N/A,#N/A,FALSE,"TAXC.INDEX";#N/A,#N/A,FALSE,"Schedule I";#N/A,#N/A,FALSE,"Schedule  II";#N/A,#N/A,FALSE,"Schedule III"}</definedName>
    <definedName name="OCT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oels" hidden="1">{#N/A,#N/A,FALSE,"DIR-REP";#N/A,#N/A,FALSE,"AUD-REPORT";#N/A,#N/A,FALSE,"P7L&amp;BS";#N/A,#N/A,FALSE,"NOTES";#N/A,#N/A,FALSE,"FA";#N/A,#N/A,FALSE,"NOTES (2)";#N/A,#N/A,FALSE,"Schedule  IV";#N/A,#N/A,FALSE,"Schedule V"}</definedName>
    <definedName name="ogvcl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i" hidden="1">{"'毛利比较'!$A$4:$P$26"}</definedName>
    <definedName name="oihu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k" hidden="1">#REF!</definedName>
    <definedName name="ooo" hidden="1">{#N/A,#N/A,FALSE,"TAXC.INDEX";#N/A,#N/A,FALSE,"Schedule I";#N/A,#N/A,FALSE,"Schedule  II";#N/A,#N/A,FALSE,"Schedule III"}</definedName>
    <definedName name="oooooooo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oop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or" hidden="1">{"M7_1Print",#N/A,TRUE,"M7_1";"M7_2Print",#N/A,TRUE,"M7_2"}</definedName>
    <definedName name="OrderTable" hidden="1">#REF!</definedName>
    <definedName name="ose" hidden="1">{#N/A,#N/A,TRUE,"COVER";#N/A,#N/A,TRUE,"DIR";#N/A,#N/A,TRUE,"AUDIT"}</definedName>
    <definedName name="ostls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uta" hidden="1">{#N/A,#N/A,FALSE,"1321";#N/A,#N/A,FALSE,"1324";#N/A,#N/A,FALSE,"1333";#N/A,#N/A,FALSE,"1371"}</definedName>
    <definedName name="outra" hidden="1">{#N/A,#N/A,FALSE,"1321";#N/A,#N/A,FALSE,"1324";#N/A,#N/A,FALSE,"1333";#N/A,#N/A,FALSE,"1371"}</definedName>
    <definedName name="outra1" hidden="1">{#N/A,#N/A,FALSE,"1321";#N/A,#N/A,FALSE,"1324";#N/A,#N/A,FALSE,"1333";#N/A,#N/A,FALSE,"1371"}</definedName>
    <definedName name="Overheads" hidden="1">{#N/A,#N/A,FALSE,"wip"}</definedName>
    <definedName name="owejr" hidden="1">{#N/A,#N/A,FALSE,"DIR-REP";#N/A,#N/A,FALSE,"AUD-REPORT";#N/A,#N/A,FALSE,"P7L&amp;BS";#N/A,#N/A,FALSE,"NOTES";#N/A,#N/A,FALSE,"FA";#N/A,#N/A,FALSE,"NOTES (2)";#N/A,#N/A,FALSE,"Schedule  IV";#N/A,#N/A,FALSE,"Schedule V"}</definedName>
    <definedName name="oxcl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oxektl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aging" hidden="1">#REF!</definedName>
    <definedName name="part" hidden="1">#REF!</definedName>
    <definedName name="pasta3" hidden="1">{"Financ.total",#N/A,FALSE,"BALJAN97"}</definedName>
    <definedName name="pau" hidden="1">#REF!</definedName>
    <definedName name="pay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ayable2" hidden="1">#REF!</definedName>
    <definedName name="PDC" hidden="1">#REF!</definedName>
    <definedName name="pedro" hidden="1">{"Financ.total",#N/A,FALSE,"BALJAN97"}</definedName>
    <definedName name="pinco" hidden="1">#REF!</definedName>
    <definedName name="pippo" hidden="1">#REF!</definedName>
    <definedName name="pir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Pla" hidden="1">#REF!</definedName>
    <definedName name="play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plhalf" hidden="1">#REF!</definedName>
    <definedName name="PMRZ" hidden="1">{"'Individual Tooling Cost'!$B$3:$O$6"}</definedName>
    <definedName name="PMRZ1" hidden="1">{"'Individual Tooling Cost'!$B$3:$O$6"}</definedName>
    <definedName name="pmt" hidden="1">{#N/A,#N/A,FALSE,"DIR-REP";#N/A,#N/A,FALSE,"AUD-REPORT";#N/A,#N/A,FALSE,"P7L&amp;BS";#N/A,#N/A,FALSE,"NOTES";#N/A,#N/A,FALSE,"FA";#N/A,#N/A,FALSE,"NOTES (2)";#N/A,#N/A,FALSE,"Schedule  IV";#N/A,#N/A,FALSE,"Schedule V"}</definedName>
    <definedName name="POT" hidden="1">#REF!</definedName>
    <definedName name="POTr" hidden="1">#REF!</definedName>
    <definedName name="POU" hidden="1">#REF!</definedName>
    <definedName name="ppoi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PPP" hidden="1">{#N/A,#N/A,FALSE,"1321";#N/A,#N/A,FALSE,"1324";#N/A,#N/A,FALSE,"1333";#N/A,#N/A,FALSE,"1371"}</definedName>
    <definedName name="ppppppppp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pppppppppppppp" hidden="1">{"toptrial",#N/A,TRUE,"toptrial";"adjustment",#N/A,TRUE,"toptrial";"voucher",#N/A,TRUE,"toptrial"}</definedName>
    <definedName name="Print_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Print_1_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Print_1_4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Print_1_5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Print_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print_3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ProdForm" hidden="1">#REF!</definedName>
    <definedName name="Product" hidden="1">#REF!</definedName>
    <definedName name="prueba" hidden="1">{#N/A,#N/A,FALSE,"Aging Summary";#N/A,#N/A,FALSE,"Ratio Analysis";#N/A,#N/A,FALSE,"Test 120 Day Accts";#N/A,#N/A,FALSE,"Tickmarks"}</definedName>
    <definedName name="pu" hidden="1">{"'毛利比较'!$A$4:$P$26"}</definedName>
    <definedName name="PUB_FileID" hidden="1">"L10003363.xls"</definedName>
    <definedName name="PUB_UserID" hidden="1">"MAYERX"</definedName>
    <definedName name="pu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a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qaewqrwf" hidden="1">{"M6Print",#N/A,FALSE,"M6";"M6_1Print",#N/A,FALSE,"M6_1";"M6_2Print",#N/A,FALSE,"M6_2"}</definedName>
    <definedName name="QAF" hidden="1">{#N/A,#N/A,FALSE,"P";#N/A,#N/A,FALSE,"Material";#N/A,#N/A,FALSE,"kalk-Kosten";#N/A,#N/A,FALSE,"Personal";#N/A,#N/A,FALSE,"Gemeinkosten-Gesamt";#N/A,#N/A,FALSE,"VV-Sonstiges";#N/A,#N/A,FALSE,"Entwicklung und Projektierung";#N/A,#N/A,FALSE,"Umlaufvermögen";#N/A,#N/A,FALSE,"start-up";#N/A,#N/A,FALSE,"invest";#N/A,#N/A,FALSE,"Prämissen";#N/A,#N/A,FALSE,"QAF";#N/A,#N/A,FALSE,"Kalkulation";#N/A,#N/A,FALSE,"Überleitung"}</definedName>
    <definedName name="QAW" hidden="1">{#N/A,#N/A,FALSE,"을지 (4)";#N/A,#N/A,FALSE,"을지 (5)";#N/A,#N/A,FALSE,"을지 (6)"}</definedName>
    <definedName name="qde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ee" hidden="1">{"M7_1Print",#N/A,TRUE,"M7_1";"M7_2Print",#N/A,TRUE,"M7_2"}</definedName>
    <definedName name="qer" hidden="1">{#N/A,#N/A,FALSE,"DIR-REP";#N/A,#N/A,FALSE,"AUD-REPORT";#N/A,#N/A,FALSE,"P7L&amp;BS";#N/A,#N/A,FALSE,"NOTES";#N/A,#N/A,FALSE,"FA";#N/A,#N/A,FALSE,"NOTES (2)";#N/A,#N/A,FALSE,"Schedule  IV";#N/A,#N/A,FALSE,"Schedule V"}</definedName>
    <definedName name="qewe" hidden="1">{"M1sPrint",#N/A,FALSE,"M1s"}</definedName>
    <definedName name="qqqq.q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qqqq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QR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QSS" hidden="1">{#N/A,#N/A,FALSE,"을지 (4)";#N/A,#N/A,FALSE,"을지 (5)";#N/A,#N/A,FALSE,"을지 (6)"}</definedName>
    <definedName name="quo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qutp" hidden="1">{#N/A,#N/A,FALSE,"DIR-REP";#N/A,#N/A,FALSE,"AUD-REPORT";#N/A,#N/A,FALSE,"P7L&amp;BS";#N/A,#N/A,FALSE,"NOTES";#N/A,#N/A,FALSE,"FA";#N/A,#N/A,FALSE,"NOTES (2)";#N/A,#N/A,FALSE,"Schedule  IV";#N/A,#N/A,FALSE,"Schedule V"}</definedName>
    <definedName name="QW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qweqwsd" hidden="1">{#N/A,#N/A,FALSE,"M1s Board";#N/A,#N/A,FALSE,"M3 Board";#N/A,#N/A,FALSE,"M6 Board";#N/A,#N/A,FALSE,"M7";#N/A,#N/A,FALSE,"M7B";#N/A,#N/A,FALSE,"M8";#N/A,#N/A,FALSE,"M8A Board";#N/A,#N/A,FALSE,"AF1 Board"}</definedName>
    <definedName name="qwertyuiopasdfghjkl" hidden="1">{"M2aPrint",#N/A,FALSE,"M2a"}</definedName>
    <definedName name="qwwertyuiop" hidden="1">{"M2Print",#N/A,FALSE,"M2"}</definedName>
    <definedName name="qwwre" hidden="1">{"M4Print",#N/A,FALSE,"M4"}</definedName>
    <definedName name="R_COVER" hidden="1">{#N/A,#N/A,FALSE,"단축1";#N/A,#N/A,FALSE,"단축2";#N/A,#N/A,FALSE,"단축3";#N/A,#N/A,FALSE,"장축";#N/A,#N/A,FALSE,"4WD"}</definedName>
    <definedName name="raff" hidden="1">{#N/A,#N/A,FALSE,"Fund-II"}</definedName>
    <definedName name="ray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RCArea" hidden="1">#REF!</definedName>
    <definedName name="RDES" hidden="1">#REF!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corder1" hidden="1">#REF!</definedName>
    <definedName name="REP_ComposerVersion" hidden="1">"4.0"</definedName>
    <definedName name="rer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retrre" hidden="1">{#N/A,#N/A,FALSE,"Aging Summary";#N/A,#N/A,FALSE,"Ratio Analysis";#N/A,#N/A,FALSE,"Test 120 Day Accts";#N/A,#N/A,FALSE,"Tickmarks"}</definedName>
    <definedName name="rev" hidden="1">{"'Actual'!$A$1:$F$25"}</definedName>
    <definedName name="rew" hidden="1">{"'毛利比较'!$A$4:$P$26"}</definedName>
    <definedName name="rf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rr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RR.BRAKE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ERWRW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r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RTEGH" hidden="1">{"preco1",#N/A,TRUE,"Analise preços";"peq",#N/A,TRUE,"Analise preços";"resu",#N/A,TRUE,"TOTAL"}</definedName>
    <definedName name="rthhyrd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rtyu" hidden="1">#REF!</definedName>
    <definedName name="s.summi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a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add" hidden="1">{"MonthlyRentRoll",#N/A,FALSE,"RentRoll"}</definedName>
    <definedName name="saddd" hidden="1">{"AnnualRentRoll",#N/A,FALSE,"RentRoll"}</definedName>
    <definedName name="saddddd" hidden="1">{"AnnualRentRoll",#N/A,FALSE,"RentRoll"}</definedName>
    <definedName name="sadddddddd" hidden="1">{#N/A,#N/A,FALSE,"ExitStratigy"}</definedName>
    <definedName name="sadddddddddd" hidden="1">{#N/A,#N/A,FALSE,"LoanAssumptions"}</definedName>
    <definedName name="saddddddddddddd" hidden="1">{#N/A,#N/A,FALSE,"OperatingAssumptions"}</definedName>
    <definedName name="Safra.Derivativo" hidden="1">{#N/A,#N/A,FALSE,"ENCO R63";#N/A,#N/A,FALSE,"ENCO"}</definedName>
    <definedName name="sample" hidden="1">#REF!</definedName>
    <definedName name="SAPBEXbbsBack" hidden="1">"CNES - TRIAL BALANCE.xls"</definedName>
    <definedName name="SAPBEXdnldView" hidden="1">"4D4WVRAZFXWLPKS3R52UJB0QG"</definedName>
    <definedName name="SAPBEXhrIndnt" hidden="1">2</definedName>
    <definedName name="SAPBEXrevision" hidden="1">10</definedName>
    <definedName name="SAPBEXsysID" hidden="1">"AW1"</definedName>
    <definedName name="SAPBEXwbID" hidden="1">"3OHOMDSTKMDZCD0XFTR7RJ7Z1"</definedName>
    <definedName name="SAPFuncF4Help" hidden="1">Main.SAPF4Help()</definedName>
    <definedName name="sarah" hidden="1">{#N/A,#N/A,FALSE,"OffAdvance";#N/A,#N/A,FALSE,"OffExpRprt";#N/A,#N/A,FALSE,"Entertmnt";#N/A,#N/A,FALSE,"Promotion";#N/A,#N/A,FALSE,"Travelling"}</definedName>
    <definedName name="say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dfds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SDFGSDFGSD" hidden="1">{"ativo analítico",#N/A,FALSE,"BALmar97";"passivo analítico",#N/A,FALSE,"BALmar97";"resultado analítico",#N/A,FALSE,"BALmar97"}</definedName>
    <definedName name="sdfsdfsdf" hidden="1">{#N/A,#N/A,TRUE,"assumtions";#N/A,#N/A,TRUE,"CF";#N/A,#N/A,TRUE,"BS";#N/A,#N/A,TRUE,"P&amp;L";#N/A,#N/A,TRUE,"BEP";#N/A,#N/A,TRUE,"CapEx, Depr, Bookvalues";#N/A,#N/A,TRUE,"R65";#N/A,#N/A,TRUE,"Labor";#N/A,#N/A,TRUE,"PG1";#N/A,#N/A,TRUE,"R380";#N/A,#N/A,TRUE,"TTL";#N/A,#N/A,TRUE,"P&amp;L Purchase";#N/A,#N/A,TRUE,"balance sheet";#N/A,#N/A,TRUE,"Multiples";#N/A,#N/A,TRUE,"volume";#N/A,#N/A,TRUE,"balance sheet"}</definedName>
    <definedName name="sdle" hidden="1">{#N/A,#N/A,FALSE,"TAXC.INDEX";#N/A,#N/A,FALSE,"Schedule I";#N/A,#N/A,FALSE,"Schedule  II";#N/A,#N/A,FALSE,"Schedule III"}</definedName>
    <definedName name="sds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sdsa" hidden="1">{"preco1",#N/A,TRUE,"Analise preços";"peq",#N/A,TRUE,"Analise preços";"resu",#N/A,TRUE,"TOTAL"}</definedName>
    <definedName name="sdwsa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edt" hidden="1">{#N/A,#N/A,FALSE,"DIR-REP";#N/A,#N/A,FALSE,"AUD-REPORT";#N/A,#N/A,FALSE,"P7L&amp;BS";#N/A,#N/A,FALSE,"NOTES";#N/A,#N/A,FALSE,"FA";#N/A,#N/A,FALSE,"NOTES (2)";#N/A,#N/A,FALSE,"Schedule  IV";#N/A,#N/A,FALSE,"Schedule V"}</definedName>
    <definedName name="segfdfhgf" hidden="1">#REF!</definedName>
    <definedName name="sels" hidden="1">{#N/A,#N/A,TRUE,"COVER";#N/A,#N/A,TRUE,"DIR";#N/A,#N/A,TRUE,"AUDIT"}</definedName>
    <definedName name="sencount" hidden="1">1</definedName>
    <definedName name="seoa" hidden="1">{#N/A,#N/A,FALSE,"TAXC.INDEX";#N/A,#N/A,FALSE,"Schedule I";#N/A,#N/A,FALSE,"Schedule  II";#N/A,#N/A,FALSE,"Schedule III"}</definedName>
    <definedName name="seoas" hidden="1">{#N/A,#N/A,FALSE,"DIR-REP";#N/A,#N/A,FALSE,"AUD-REPORT";#N/A,#N/A,FALSE,"P7L&amp;BS";#N/A,#N/A,FALSE,"NOTES";#N/A,#N/A,FALSE,"FA";#N/A,#N/A,FALSE,"NOTES (2)";#N/A,#N/A,FALSE,"Schedule  IV";#N/A,#N/A,FALSE,"Schedule V"}</definedName>
    <definedName name="seold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eo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t" hidden="1">{#N/A,#N/A,FALSE,"TAXC.INDEX";#N/A,#N/A,FALSE,"Schedule I";#N/A,#N/A,FALSE,"Schedule  II";#N/A,#N/A,FALSE,"Schedule III"}</definedName>
    <definedName name="seotl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eotst" hidden="1">{#N/A,#N/A,FALSE,"TAXC.INDEX";#N/A,#N/A,FALSE,"Schedule I";#N/A,#N/A,FALSE,"Schedule  II";#N/A,#N/A,FALSE,"Schedule III"}</definedName>
    <definedName name="setftg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setols" hidden="1">{#N/A,#N/A,TRUE,"COVER";#N/A,#N/A,TRUE,"DIR";#N/A,#N/A,TRUE,"AUDIT"}</definedName>
    <definedName name="sfd" hidden="1">{#N/A,#N/A,FALSE,"wip"}</definedName>
    <definedName name="SFDGSDFG" hidden="1">{"ATI",#N/A,TRUE,"BALabr97";"PAS",#N/A,TRUE,"BALabr97";"REC",#N/A,TRUE,"BALabr97"}</definedName>
    <definedName name="Sheet1_BNE_MESSAGES" hidden="1">#REF!</definedName>
    <definedName name="Sheet1_BNE_MESSAGES_HIDDEN" hidden="1">#REF!</definedName>
    <definedName name="Sheet1_BNE_MESSAGES_LAMP" hidden="1">#REF!</definedName>
    <definedName name="Sheet1_BNE_UPLOAD" hidden="1">#REF!</definedName>
    <definedName name="Sheet1_GL_INTERFACE_ACCOUNTING_DATE" hidden="1">#REF!</definedName>
    <definedName name="Sheet1_GL_INTERFACE_ACTUAL_FLAG" hidden="1">#REF!</definedName>
    <definedName name="Sheet1_GL_INTERFACE_CURRENCY_CODE" hidden="1">#REF!</definedName>
    <definedName name="Sheet1_GL_INTERFACE_DATABASE" hidden="1">#REF!</definedName>
    <definedName name="Sheet1_GL_INTERFACE_ENTERED_CR" hidden="1">#REF!</definedName>
    <definedName name="Sheet1_GL_INTERFACE_ENTERED_DR" hidden="1">#REF!</definedName>
    <definedName name="Sheet1_GL_INTERFACE_REFERENCE1" hidden="1">#REF!</definedName>
    <definedName name="Sheet1_GL_INTERFACE_REFERENCE10" hidden="1">#REF!</definedName>
    <definedName name="Sheet1_GL_INTERFACE_REFERENCE4" hidden="1">#REF!</definedName>
    <definedName name="Sheet1_GL_INTERFACE_REFERENCE5" hidden="1">#REF!</definedName>
    <definedName name="Sheet1_GL_INTERFACE_REFERENCE6" hidden="1">#REF!</definedName>
    <definedName name="Sheet1_GL_INTERFACE_REFERENCE7" hidden="1">#REF!</definedName>
    <definedName name="Sheet1_GL_INTERFACE_REFERENCE8" hidden="1">#REF!</definedName>
    <definedName name="Sheet1_GL_INTERFACE_SEGMENT1" hidden="1">#REF!</definedName>
    <definedName name="Sheet1_GL_INTERFACE_SEGMENT2" hidden="1">#REF!</definedName>
    <definedName name="Sheet1_GL_INTERFACE_SEGMENT3" hidden="1">#REF!</definedName>
    <definedName name="Sheet1_GL_INTERFACE_SEGMENT4" hidden="1">#REF!</definedName>
    <definedName name="Sheet1_GL_INTERFACE_SEGMENT5" hidden="1">#REF!</definedName>
    <definedName name="Sheet1_GL_INTERFACE_SEGMENT6" hidden="1">#REF!</definedName>
    <definedName name="Sheet1_GL_INTERFACE_SET_OF_BOOKS_ID" hidden="1">#REF!</definedName>
    <definedName name="Sheet1_GL_INTERFACE_USER_JE_CATEGORY_NAME" hidden="1">#REF!</definedName>
    <definedName name="Sheet1_GL_INTERFACE_USER_JE_SOURCE_NAME" hidden="1">#REF!</definedName>
    <definedName name="shenyang" hidden="1">#N/A</definedName>
    <definedName name="SIG_CONTROLE" hidden="1">#REF!</definedName>
    <definedName name="SIG_DERNIERECOLONNE" hidden="1">#REF!</definedName>
    <definedName name="SIG_LG11_firstLine" hidden="1">#REF!</definedName>
    <definedName name="SIG_LG11_H349" hidden="1">#REF!</definedName>
    <definedName name="SIG_LG11_H353" hidden="1">#REF!</definedName>
    <definedName name="SIG_LG11_H354" hidden="1">#REF!</definedName>
    <definedName name="SIG_LG11_H357" hidden="1">#REF!</definedName>
    <definedName name="SIG_LG11_H358" hidden="1">#REF!</definedName>
    <definedName name="SIG_LG11_H359" hidden="1">#REF!</definedName>
    <definedName name="SIG_LG11_H388" hidden="1">#REF!</definedName>
    <definedName name="SIG_LG11_H395" hidden="1">#REF!</definedName>
    <definedName name="SIG_LG11_IsControlOK" hidden="1">#REF!</definedName>
    <definedName name="SIG_LG11_lastLine" hidden="1">#REF!</definedName>
    <definedName name="SIG_LG11_ListeRangeMontant" hidden="1">#REF!</definedName>
    <definedName name="SIG_LG11_TITLECOL" hidden="1">#REF!</definedName>
    <definedName name="SIG_LG11_TITLELINE" hidden="1">#REF!</definedName>
    <definedName name="SIG_PTBD_LG11" hidden="1">#REF!</definedName>
    <definedName name="SIG_PTHG_LG11" hidden="1">#REF!</definedName>
    <definedName name="Singapore" hidden="1">{"'Actual'!$A$1:$F$25"}</definedName>
    <definedName name="sinii" hidden="1">#REF!</definedName>
    <definedName name="SITEWORKS">#REF!</definedName>
    <definedName name="sjedo" hidden="1">{#N/A,#N/A,FALSE,"TAXC.INDEX";#N/A,#N/A,FALSE,"Schedule I";#N/A,#N/A,FALSE,"Schedule  II";#N/A,#N/A,FALSE,"Schedule III"}</definedName>
    <definedName name="sjgosjf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joe" hidden="1">{#N/A,#N/A,TRUE,"COVER";#N/A,#N/A,TRUE,"DIR";#N/A,#N/A,TRUE,"AUDIT"}</definedName>
    <definedName name="sjog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ksksk" hidden="1">#REF!</definedName>
    <definedName name="sleo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lllie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lloo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octl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oe" hidden="1">{#N/A,#N/A,FALSE,"TAXC.INDEX";#N/A,#N/A,FALSE,"Schedule I";#N/A,#N/A,FALSE,"Schedule  II";#N/A,#N/A,FALSE,"Schedule III"}</definedName>
    <definedName name="soe.c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oeg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lt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oetjl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sof" hidden="1">{#N/A,#N/A,FALSE,"DIR-REP";#N/A,#N/A,FALSE,"AUD-REPORT";#N/A,#N/A,FALSE,"P7L&amp;BS";#N/A,#N/A,FALSE,"NOTES";#N/A,#N/A,FALSE,"FA";#N/A,#N/A,FALSE,"NOTES (2)";#N/A,#N/A,FALSE,"Schedule  IV";#N/A,#N/A,FALSE,"Schedule V"}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19.66</definedName>
    <definedName name="soooot" hidden="1">{#N/A,#N/A,FALSE,"DIR-REP";#N/A,#N/A,FALSE,"AUD-REPORT";#N/A,#N/A,FALSE,"P7L&amp;BS";#N/A,#N/A,FALSE,"NOTES";#N/A,#N/A,FALSE,"FA";#N/A,#N/A,FALSE,"NOTES (2)";#N/A,#N/A,FALSE,"Schedule  IV";#N/A,#N/A,FALSE,"Schedule V"}</definedName>
    <definedName name="sort" hidden="1">#REF!</definedName>
    <definedName name="sotalj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pace" hidden="1">#REF!</definedName>
    <definedName name="SpecialPrice" hidden="1">#REF!</definedName>
    <definedName name="spo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sq" hidden="1">{"'毛利比较'!$A$4:$P$26"}</definedName>
    <definedName name="sqw" hidden="1">{"'毛利比较'!$A$4:$P$26"}</definedName>
    <definedName name="SS" hidden="1">#REF!</definedName>
    <definedName name="SSD" hidden="1">{#N/A,#N/A,FALSE,"을지 (4)";#N/A,#N/A,FALSE,"을지 (5)";#N/A,#N/A,FALSE,"을지 (6)"}</definedName>
    <definedName name="sssss" hidden="1">{#N/A,#N/A,FALSE,"DIR-REP";#N/A,#N/A,FALSE,"AUD-REPORT";#N/A,#N/A,FALSE,"P7L&amp;BS";#N/A,#N/A,FALSE,"NOTES";#N/A,#N/A,FALSE,"FA";#N/A,#N/A,FALSE,"NOTES (2)";#N/A,#N/A,FALSE,"Schedule  IV";#N/A,#N/A,FALSE,"Schedule V"}</definedName>
    <definedName name="sssss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ssssss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STRUCTURAL">#REF!</definedName>
    <definedName name="Swadlincote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t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a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ay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bl_ProdInfo" hidden="1">#REF!</definedName>
    <definedName name="tco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EKPLUS" hidden="1">{"'Individual Tooling Cost'!$B$3:$O$6"}</definedName>
    <definedName name="teo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" hidden="1">#REF!</definedName>
    <definedName name="test11" hidden="1">{#N/A,#N/A,FALSE,"Fund-II"}</definedName>
    <definedName name="teste1" hidden="1">#REF!</definedName>
    <definedName name="teste16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17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18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ste19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teste25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ste30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teste40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TET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tetgs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ex" hidden="1">15</definedName>
    <definedName name="TextRefCopyRangeCount" hidden="1">91</definedName>
    <definedName name="TGA" hidden="1">{#N/A,#N/A,FALSE,"3410599";#N/A,#N/A,FALSE,"34106";#N/A,#N/A,FALSE,"34903";#N/A,#N/A,FALSE,"4450999";#N/A,#N/A,FALSE,"44901"}</definedName>
    <definedName name="tgvu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isg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jxot" hidden="1">{#N/A,#N/A,FALSE,"DIR-REP";#N/A,#N/A,FALSE,"AUD-REPORT";#N/A,#N/A,FALSE,"P7L&amp;BS";#N/A,#N/A,FALSE,"NOTES";#N/A,#N/A,FALSE,"FA";#N/A,#N/A,FALSE,"NOTES (2)";#N/A,#N/A,FALSE,"Schedule  IV";#N/A,#N/A,FALSE,"Schedule V"}</definedName>
    <definedName name="tlsm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ltalta" hidden="1">{#N/A,#N/A,FALSE,"TAXC.INDEX";#N/A,#N/A,FALSE,"Schedule I";#N/A,#N/A,FALSE,"Schedule  II";#N/A,#N/A,FALSE,"Schedule III"}</definedName>
    <definedName name="todl" hidden="1">{#N/A,#N/A,FALSE,"DIR-REP";#N/A,#N/A,FALSE,"AUD-REPORT";#N/A,#N/A,FALSE,"P7L&amp;BS";#N/A,#N/A,FALSE,"NOTES";#N/A,#N/A,FALSE,"FA";#N/A,#N/A,FALSE,"NOTES (2)";#N/A,#N/A,FALSE,"Schedule  IV";#N/A,#N/A,FALSE,"Schedule V"}</definedName>
    <definedName name="todoroki" hidden="1">#REF!</definedName>
    <definedName name="tolet" hidden="1">{#N/A,#N/A,FALSE,"DIR-REP";#N/A,#N/A,FALSE,"AUD-REPORT";#N/A,#N/A,FALSE,"P7L&amp;BS";#N/A,#N/A,FALSE,"NOTES";#N/A,#N/A,FALSE,"FA";#N/A,#N/A,FALSE,"NOTES (2)";#N/A,#N/A,FALSE,"Schedule  IV";#N/A,#N/A,FALSE,"Schedule V"}</definedName>
    <definedName name="TORSION" hidden="1">{#N/A,#N/A,FALSE,"단축1";#N/A,#N/A,FALSE,"단축2";#N/A,#N/A,FALSE,"단축3";#N/A,#N/A,FALSE,"장축";#N/A,#N/A,FALSE,"4WD"}</definedName>
    <definedName name="toto" hidden="1">{#N/A,#N/A,FALSE,"Lestrem";#N/A,#N/A,FALSE,"Beinheim";#N/A,#N/A,FALSE,"Vecquemont";#N/A,#N/A,FALSE,"Lestrem+beinheim";#N/A,#N/A,FALSE,"Activite Amidon Usines";#N/A,#N/A,FALSE,"couts mat Rf";#N/A,#N/A,FALSE,"PDT Vecq."}</definedName>
    <definedName name="totos" hidden="1">{#N/A,#N/A,FALSE,"Lestrem";#N/A,#N/A,FALSE,"Beinheim";#N/A,#N/A,FALSE,"Vecquemont";#N/A,#N/A,FALSE,"Lestrem+beinheim";#N/A,#N/A,FALSE,"Activite Amidon Usines";#N/A,#N/A,FALSE,"couts mat Rf";#N/A,#N/A,FALSE,"PDT Vecq."}</definedName>
    <definedName name="TP_Footer_Path" hidden="1">"S:\73350\04RET\Valwelf\Allocations\"</definedName>
    <definedName name="TP_Footer_User" hidden="1">"Venelin Yanakiev"</definedName>
    <definedName name="TP_Footer_Version" hidden="1">"v3.00"</definedName>
    <definedName name="TR43T4YTREYD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rabajo" hidden="1">{#N/A,#N/A,FALSE,"Aging Summary";#N/A,#N/A,FALSE,"Ratio Analysis";#N/A,#N/A,FALSE,"Test 120 Day Accts";#N/A,#N/A,FALSE,"Tickmarks"}</definedName>
    <definedName name="trdltla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tre" hidden="1">{"'毛利比较'!$A$4:$P$26"}</definedName>
    <definedName name="TREND1" hidden="1">#REF!</definedName>
    <definedName name="TREND10" hidden="1">#REF!</definedName>
    <definedName name="TREND11" hidden="1">#REF!</definedName>
    <definedName name="TREND2" hidden="1">#REF!</definedName>
    <definedName name="TREND3" hidden="1">#REF!</definedName>
    <definedName name="TREND4" hidden="1">#REF!</definedName>
    <definedName name="TREND5" hidden="1">#REF!</definedName>
    <definedName name="TREND6" hidden="1">#REF!</definedName>
    <definedName name="TREND7" hidden="1">#REF!</definedName>
    <definedName name="trend8" hidden="1">#REF!</definedName>
    <definedName name="TREND9" hidden="1">#REF!</definedName>
    <definedName name="trtlt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sllo" hidden="1">{#N/A,#N/A,FALSE,"TAXC.INDEX";#N/A,#N/A,FALSE,"Schedule I";#N/A,#N/A,FALSE,"Schedule  II";#N/A,#N/A,FALSE,"Schedule III"}</definedName>
    <definedName name="tsoa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tsos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tso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tt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ttt" hidden="1">{#N/A,#N/A,FALSE,"을지 (4)";#N/A,#N/A,FALSE,"을지 (5)";#N/A,#N/A,FALSE,"을지 (6)"}</definedName>
    <definedName name="ttyty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y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tytryr" hidden="1">{#N/A,#N/A,FALSE,"Aging Summary";#N/A,#N/A,FALSE,"Ratio Analysis";#N/A,#N/A,FALSE,"Test 120 Day Accts";#N/A,#N/A,FALSE,"Tickmarks"}</definedName>
    <definedName name="tyu" hidden="1">{"'毛利比较'!$A$4:$P$26"}</definedName>
    <definedName name="tyuo" hidden="1">{"'毛利比较'!$A$4:$P$26"}</definedName>
    <definedName name="uay" hidden="1">{#N/A,#N/A,FALSE,"DIR-REP";#N/A,#N/A,FALSE,"AUD-REPORT";#N/A,#N/A,FALSE,"P7L&amp;BS";#N/A,#N/A,FALSE,"NOTES";#N/A,#N/A,FALSE,"FA";#N/A,#N/A,FALSE,"NOTES (2)";#N/A,#N/A,FALSE,"Schedule  IV";#N/A,#N/A,FALSE,"Schedule V"}</definedName>
    <definedName name="Überleitung" hidden="1">#REF!</definedName>
    <definedName name="UFPrn20160217113411">#REF!</definedName>
    <definedName name="uio" hidden="1">#REF!</definedName>
    <definedName name="UIO49X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uiou" hidden="1">{#N/A,#N/A,FALSE,"TAXC.INDEX";#N/A,#N/A,FALSE,"Schedule I";#N/A,#N/A,FALSE,"Schedule  II";#N/A,#N/A,FALSE,"Schedule III"}</definedName>
    <definedName name="uj" hidden="1">{#N/A,#N/A,FALSE,"DIR-REP";#N/A,#N/A,FALSE,"AUD-REPORT";#N/A,#N/A,FALSE,"P7L&amp;BS";#N/A,#N/A,FALSE,"NOTES";#N/A,#N/A,FALSE,"FA";#N/A,#N/A,FALSE,"NOTES (2)";#N/A,#N/A,FALSE,"Schedule  IV";#N/A,#N/A,FALSE,"Schedule V"}</definedName>
    <definedName name="ulead" hidden="1">{#N/A,#N/A,FALSE,"970301";#N/A,#N/A,FALSE,"970302";#N/A,#N/A,FALSE,"970303";#N/A,#N/A,FALSE,"970304";#N/A,#N/A,FALSE,"COM1";#N/A,#N/A,FALSE,"COM2"}</definedName>
    <definedName name="ULT" hidden="1">{"'Individual Tooling Cost'!$B$3:$O$6"}</definedName>
    <definedName name="unit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uuu" hidden="1">{#N/A,#N/A,TRUE,"COVER";#N/A,#N/A,TRUE,"DIR";#N/A,#N/A,TRUE,"AUDIT"}</definedName>
    <definedName name="vay" hidden="1">{#N/A,#N/A,TRUE,"COVER";#N/A,#N/A,TRUE,"DIR";#N/A,#N/A,TRUE,"AUDIT"}</definedName>
    <definedName name="vb" hidden="1">{"'毛利比较'!$A$4:$P$26"}</definedName>
    <definedName name="vbcvbv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vcfg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vcx" hidden="1">{"'毛利比较'!$A$4:$P$26"}</definedName>
    <definedName name="vf" hidden="1">{"'毛利比较'!$A$4:$P$26"}</definedName>
    <definedName name="VFE" hidden="1">#REF!</definedName>
    <definedName name="vg" hidden="1">{"'毛利比较'!$A$4:$P$26"}</definedName>
    <definedName name="vgkt" hidden="1">{#N/A,#N/A,FALSE,"DIR-REP";#N/A,#N/A,FALSE,"AUD-REPORT";#N/A,#N/A,FALSE,"P7L&amp;BS";#N/A,#N/A,FALSE,"NOTES";#N/A,#N/A,FALSE,"FA";#N/A,#N/A,FALSE,"NOTES (2)";#N/A,#N/A,FALSE,"Schedule  IV";#N/A,#N/A,FALSE,"Schedule V"}</definedName>
    <definedName name="VIEIRA" hidden="1">{"CAPA CONSELHO FISCAL",#N/A,TRUE,"capa (2)";"CAPITAL 2001",#N/A,TRUE,"capital (2)";"INDICES2001 (2)",#N/A,TRUE,"índices bal (2)";"BAL(B)2001",#N/A,TRUE,"BAL B (2)";"RESULTADO 10",#N/A,TRUE,"resultado";"MUTAÇÃO(B)2001",#N/A,TRUE,"mutação B (2)";"DOAR(B)2001",#N/A,TRUE,"DOAR B (2)";"ESTOQUE(B)2001",#N/A,TRUE,"estoque";"PERMANENTE(B)2001",#N/A,TRUE,"permanente B (2)";"PERFIL(B)2001",#N/A,TRUE,"PERFIL B (2)";"EBITDA 10",#N/A,TRUE,"ebitda";"FLUXO(B)2001",#N/A,TRUE,"FLUXO B (2)";"PROVISÕES2001",#N/A,TRUE,"prov-contas a receber";"CAPA CONTROLADORA",#N/A,TRUE,"capa (2)";"BAL(A)2001",#N/A,TRUE,"BAL A (2)";"MUTAÇÃO(A)2001",#N/A,TRUE,"mutação A (2)";"DOAR(A)2001",#N/A,TRUE,"DOAR A (2)";"ESTOQUE(A)2001",#N/A,TRUE,"estoque";"PERMANENTE(A)2001",#N/A,TRUE,"permanente A (2)"}</definedName>
    <definedName name="vin" hidden="1">#REF!</definedName>
    <definedName name="vj" hidden="1">{#N/A,#N/A,TRUE,"COVER";#N/A,#N/A,TRUE,"DIR";#N/A,#N/A,TRUE,"AUDIT"}</definedName>
    <definedName name="vjdfo" hidden="1">{#N/A,#N/A,FALSE,"DIR-REP";#N/A,#N/A,FALSE,"AUD-REPORT";#N/A,#N/A,FALSE,"P7L&amp;BS";#N/A,#N/A,FALSE,"NOTES";#N/A,#N/A,FALSE,"FA";#N/A,#N/A,FALSE,"NOTES (2)";#N/A,#N/A,FALSE,"Schedule  IV";#N/A,#N/A,FALSE,"Schedule V"}</definedName>
    <definedName name="vjo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vlle" hidden="1">{#N/A,#N/A,FALSE,"DIR-REP";#N/A,#N/A,FALSE,"AUD-REPORT";#N/A,#N/A,FALSE,"P7L&amp;BS";#N/A,#N/A,FALSE,"NOTES";#N/A,#N/A,FALSE,"FA";#N/A,#N/A,FALSE,"NOTES (2)";#N/A,#N/A,FALSE,"Schedule  IV";#N/A,#N/A,FALSE,"Schedule V"}</definedName>
    <definedName name="vq" hidden="1">{"'毛利比较'!$A$4:$P$26"}</definedName>
    <definedName name="vr" hidden="1">{"'毛利比较'!$A$4:$P$26"}</definedName>
    <definedName name="vt" hidden="1">{"'毛利比较'!$A$4:$P$26"}</definedName>
    <definedName name="VTM_1" hidden="1">#REF!</definedName>
    <definedName name="VTM_10" hidden="1">#REF!</definedName>
    <definedName name="VTM_11" hidden="1">#REF!</definedName>
    <definedName name="VTM_12" hidden="1">#REF!</definedName>
    <definedName name="VTM_13" hidden="1">#REF!,#REF!</definedName>
    <definedName name="VTM_14" hidden="1">#REF!</definedName>
    <definedName name="VTM_15" hidden="1">#REF!</definedName>
    <definedName name="VTM_16" hidden="1">#REF!</definedName>
    <definedName name="VTM_17" hidden="1">#REF!,#REF!</definedName>
    <definedName name="VTM_18" hidden="1">#REF!</definedName>
    <definedName name="VTM_19" hidden="1">#REF!</definedName>
    <definedName name="VTM_2" hidden="1">#REF!</definedName>
    <definedName name="VTM_20" hidden="1">#REF!,#REF!</definedName>
    <definedName name="VTM_21" hidden="1">#REF!</definedName>
    <definedName name="VTM_22" hidden="1">#REF!</definedName>
    <definedName name="VTM_23" hidden="1">#REF!</definedName>
    <definedName name="VTM_24" hidden="1">#REF!</definedName>
    <definedName name="VTM_25" hidden="1">#REF!</definedName>
    <definedName name="VTM_26" hidden="1">#REF!</definedName>
    <definedName name="VTM_27" hidden="1">#REF!</definedName>
    <definedName name="VTM_28" hidden="1">#REF!</definedName>
    <definedName name="VTM_29" hidden="1">#REF!</definedName>
    <definedName name="VTM_291" hidden="1">#REF!</definedName>
    <definedName name="VTM_292" hidden="1">#REF!</definedName>
    <definedName name="VTM_293" hidden="1">#REF!</definedName>
    <definedName name="VTM_294" hidden="1">#REF!</definedName>
    <definedName name="VTM_295" hidden="1">#REF!</definedName>
    <definedName name="VTM_296" hidden="1">#REF!</definedName>
    <definedName name="VTM_297" hidden="1">#REF!</definedName>
    <definedName name="VTM_298" hidden="1">#REF!</definedName>
    <definedName name="VTM_299" hidden="1">#REF!</definedName>
    <definedName name="VTM_3" hidden="1">#REF!</definedName>
    <definedName name="VTM_30" hidden="1">#REF!</definedName>
    <definedName name="VTM_300" hidden="1">#REF!</definedName>
    <definedName name="VTM_301" hidden="1">#REF!</definedName>
    <definedName name="VTM_307" hidden="1">#REF!</definedName>
    <definedName name="VTM_308" hidden="1">#REF!</definedName>
    <definedName name="VTM_309" hidden="1">#REF!</definedName>
    <definedName name="VTM_31" hidden="1">#REF!</definedName>
    <definedName name="VTM_310" hidden="1">#REF!</definedName>
    <definedName name="VTM_311" hidden="1">#REF!</definedName>
    <definedName name="VTM_312" hidden="1">#REF!,#REF!,#REF!,#REF!,#REF!</definedName>
    <definedName name="VTM_32" hidden="1">#REF!</definedName>
    <definedName name="VTM_33" hidden="1">#REF!</definedName>
    <definedName name="VTM_34" hidden="1">#REF!</definedName>
    <definedName name="VTM_35" hidden="1">#REF!</definedName>
    <definedName name="VTM_36" hidden="1">#REF!</definedName>
    <definedName name="VTM_37" hidden="1">#REF!</definedName>
    <definedName name="VTM_38" hidden="1">#REF!</definedName>
    <definedName name="VTM_39" hidden="1">#REF!</definedName>
    <definedName name="VTM_4" hidden="1">#REF!</definedName>
    <definedName name="VTM_40" hidden="1">#REF!</definedName>
    <definedName name="VTM_41" hidden="1">#REF!</definedName>
    <definedName name="VTM_42" hidden="1">#REF!</definedName>
    <definedName name="VTM_43" hidden="1">#REF!</definedName>
    <definedName name="VTM_44" hidden="1">#REF!</definedName>
    <definedName name="VTM_45" hidden="1">#REF!</definedName>
    <definedName name="VTM_46" hidden="1">#REF!</definedName>
    <definedName name="VTM_5" hidden="1">#REF!</definedName>
    <definedName name="VTM_6" hidden="1">#REF!</definedName>
    <definedName name="VTM_7" hidden="1">#REF!</definedName>
    <definedName name="VTM_8" hidden="1">#REF!</definedName>
    <definedName name="VTM_9" hidden="1">#REF!</definedName>
    <definedName name="vu" hidden="1">{#N/A,#N/A,FALSE,"DIR-REP";#N/A,#N/A,FALSE,"AUD-REPORT";#N/A,#N/A,FALSE,"P7L&amp;BS";#N/A,#N/A,FALSE,"NOTES";#N/A,#N/A,FALSE,"FA";#N/A,#N/A,FALSE,"NOTES (2)";#N/A,#N/A,FALSE,"Schedule  IV";#N/A,#N/A,FALSE,"Schedule V"}</definedName>
    <definedName name="vv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vvv">#REF!</definedName>
    <definedName name="w" hidden="1">{#N/A,#N/A,FALSE,"1321";#N/A,#N/A,FALSE,"1324";#N/A,#N/A,FALSE,"1333";#N/A,#N/A,FALSE,"1371"}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efar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WARR" hidden="1">#REF!</definedName>
    <definedName name="way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E" hidden="1">{#N/A,#N/A,FALSE,"을지 (4)";#N/A,#N/A,FALSE,"을지 (5)";#N/A,#N/A,FALSE,"을지 (6)"}</definedName>
    <definedName name="weasdkfrjn" hidden="1">#REF!</definedName>
    <definedName name="wels" hidden="1">{#N/A,#N/A,FALSE,"TAXC.INDEX";#N/A,#N/A,FALSE,"Schedule I";#N/A,#N/A,FALSE,"Schedule  II";#N/A,#N/A,FALSE,"Schedule III"}</definedName>
    <definedName name="wen.summe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er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ere" hidden="1">{#N/A,#N/A,FALSE,"Aging Summary";#N/A,#N/A,FALSE,"Ratio Analysis";#N/A,#N/A,FALSE,"Test 120 Day Accts";#N/A,#N/A,FALSE,"Tickmarks"}</definedName>
    <definedName name="werr" hidden="1">{"M6Print",#N/A,FALSE,"M6";"M6_1Print",#N/A,FALSE,"M6_1";"M6_2Print",#N/A,FALSE,"M6_2"}</definedName>
    <definedName name="werwe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ld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m.tiger.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or" hidden="1">{"M1sPrint",#N/A,FALSE,"M1s"}</definedName>
    <definedName name="work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Q" hidden="1">{#N/A,#N/A,FALSE,"을지 (4)";#N/A,#N/A,FALSE,"을지 (5)";#N/A,#N/A,FALSE,"을지 (6)"}</definedName>
    <definedName name="wqew" hidden="1">#REF!</definedName>
    <definedName name="WQS" hidden="1">{"preco1",#N/A,TRUE,"Analise preços";"peq",#N/A,TRUE,"Analise preços";"resu",#N/A,TRUE,"TOTAL"}</definedName>
    <definedName name="WQWQ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r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re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exham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m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" hidden="1">{#N/A,#N/A,FALSE,"Balance SPS";#N/A,#N/A,FALSE,"P&amp;L_SPS"}</definedName>
    <definedName name="wrn.01." hidden="1">{#N/A,#N/A,FALSE,"1321";#N/A,#N/A,FALSE,"1324";#N/A,#N/A,FALSE,"1333";#N/A,#N/A,FALSE,"1371"}</definedName>
    <definedName name="wrn.01_All_Package." hidden="1">{#N/A,#N/A,TRUE,"Cover";#N/A,#N/A,TRUE,"Comments PCS";#N/A,#N/A,TRUE,"Comments CIG";#N/A,#N/A,TRUE,"Comments IDEN";#N/A,#N/A,TRUE,"BS PCS";#N/A,#N/A,TRUE,"BS CIG";#N/A,#N/A,TRUE,"BS IDEN";#N/A,#N/A,TRUE,"BS TOTAL";#N/A,#N/A,TRUE,"BS_ESG ";#N/A,#N/A,TRUE,"Balance SPS";#N/A,#N/A,TRUE,"BS_CORPORATE";#N/A,#N/A,TRUE,"P&amp;L PCS";#N/A,#N/A,TRUE,"P&amp;L FWT";#N/A,#N/A,TRUE,"P&amp;L CIG";#N/A,#N/A,TRUE,"P&amp;L IDEN";#N/A,#N/A,TRUE,"P&amp;L TOTAL";#N/A,#N/A,TRUE,"P&amp;L_SPS";#N/A,#N/A,TRUE,"P&amp;L_ESG";#N/A,#N/A,TRUE,"P&amp;L_CORP";#N/A,#N/A,TRUE,"Cash Flow PCS";#N/A,#N/A,TRUE,"Cash Flow CIG";#N/A,#N/A,TRUE,"Cash Flow IDEN";#N/A,#N/A,TRUE,"Cash Flow TOTAL";#N/A,#N/A,TRUE,"MBR PCS";#N/A,#N/A,TRUE,"MBR CIG";#N/A,#N/A,TRUE,"MBR iDEN";#N/A,#N/A,TRUE,"MBR_FWT";#N/A,#N/A,TRUE,"MBR TOTAL";#N/A,#N/A,TRUE,"Headcount_PCS ";#N/A,#N/A,TRUE,"Headcount CIG";#N/A,#N/A,TRUE,"Headcount iDEN";#N/A,#N/A,TRUE,"JAG PLANT TREND";#N/A,#N/A,TRUE,"FAB UN CSG ";#N/A,#N/A,TRUE,"FAB UN CIG";#N/A,#N/A,TRUE,"FAB UN PPG";#N/A,#N/A,TRUE,"FAB UN IDEN";#N/A,#N/A,TRUE,"FAB UN FWT";#N/A,#N/A,TRUE,"CSS MFG";#N/A,#N/A,TRUE,"CSS Distr";#N/A,#N/A,TRUE,"CSG 6-Up Charts";#N/A,#N/A,TRUE,"CIG MFG";#N/A,#N/A,TRUE,"IDEN MFG";#N/A,#N/A,TRUE,"IDEN 6-Up Charts  ";#N/A,#N/A,TRUE,"FWT MFG";#N/A,#N/A,TRUE,"FWT 6-Up Charts ";#N/A,#N/A,TRUE,"PCS Inventory";#N/A,#N/A,TRUE,"CIG Inventory";#N/A,#N/A,TRUE,"IDEN Inventory";#N/A,#N/A,TRUE,"FWT Inventory";#N/A,#N/A,TRUE,"CE JAG Inventory";#N/A,#N/A,TRUE,"Capital Expenditures";#N/A,#N/A,TRUE,"FM CSG";#N/A,#N/A,TRUE,"NSAD ASP CGS";#N/A,#N/A,TRUE,"FM CIG";#N/A,#N/A,TRUE,"NSAD ASP CIG";#N/A,#N/A,TRUE,"FM iDEN";#N/A,#N/A,TRUE,"NSAD IDEN";#N/A,#N/A,TRUE,"R&amp;D  Report";#N/A,#N/A,TRUE,"PCS Credit";#N/A,#N/A,TRUE,"PCS Mrg Analysis";#N/A,#N/A,TRUE,"Dpc Tango";#N/A,#N/A,TRUE,"Startac Analog";#N/A,#N/A,TRUE,"Mercury CDMA";#N/A,#N/A,TRUE,"Startac CDMA";#N/A,#N/A,TRUE,"Startac TDMA";#N/A,#N/A,TRUE,"Modulus TDMA";#N/A,#N/A,TRUE,"CIG Mrg Analysis";#N/A,#N/A,TRUE,"IDEN Mrg Analysis"}</definedName>
    <definedName name="wrn.02_PCS.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Analysis";#N/A,#N/A,FALSE,"Dpc Tango";#N/A,#N/A,FALSE,"Startac Analog";#N/A,#N/A,FALSE,"Mercury CDMA";#N/A,#N/A,FALSE,"Startac CDMA";#N/A,#N/A,FALSE,"Startac TDMA";#N/A,#N/A,FALSE,"Modulus TDMA";#N/A,#N/A,FALSE,"PCS Credit"}</definedName>
    <definedName name="wrn.03_Corporate." hidden="1">{#N/A,#N/A,FALSE,"BS_CORPORATE"}</definedName>
    <definedName name="wrn.03_NSS.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Inventory";#N/A,#N/A,FALSE,"FWT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04_ESG." hidden="1">{#N/A,#N/A,FALSE,"BS_ESG ";#N/A,#N/A,FALSE,"P&amp;L_ESG"}</definedName>
    <definedName name="wrn.05_SPS." hidden="1">{#N/A,#N/A,FALSE,"Balance SPS";#N/A,#N/A,FALSE,"P&amp;L_SPS"}</definedName>
    <definedName name="wrn.1_Complete._.Package._.less._.Backup." hidden="1">{#N/A,#N/A,FALSE,"Cover";#N/A,#N/A,FALSE,"General Assumptions";#N/A,#N/A,FALSE,"Comments CCS";#N/A,#N/A,FALSE,"Comments CIG";#N/A,#N/A,FALSE,"Comments IDEN";#N/A,#N/A,FALSE,"BS CSS";#N/A,#N/A,FALSE,"BS CIG";#N/A,#N/A,FALSE,"BS IDEN";#N/A,#N/A,FALSE,"BS TOTAL";#N/A,#N/A,FALSE,"P&amp;L CSS";#N/A,#N/A,FALSE,"P&amp;L CIG";#N/A,#N/A,FALSE,"P&amp;L IDEN";#N/A,#N/A,FALSE,"P&amp;L TOTAL";#N/A,#N/A,FALSE,"Cash Flow CSS";#N/A,#N/A,FALSE,"Cash Flow CIG";#N/A,#N/A,FALSE,"Cash Flow IDEN";#N/A,#N/A,FALSE,"Cash Flow Total";#N/A,#N/A,FALSE,"MBR CSS";#N/A,#N/A,FALSE,"MBR CIG";#N/A,#N/A,FALSE,"MBR IDEN";#N/A,#N/A,FALSE,"MBR JAG PLANT";#N/A,#N/A,FALSE,"Headcount - CSS";#N/A,#N/A,FALSE,"Headcount - CIG";#N/A,#N/A,FALSE,"Headcount - IDEN";#N/A,#N/A,FALSE,"Headcount JAG PLANT";#N/A,#N/A,FALSE,"CSS MFG";#N/A,#N/A,FALSE,"CSS Distr ";#N/A,#N/A,FALSE,"CIG MFG";#N/A,#N/A,FALSE,"IDEN MFG";#N/A,#N/A,FALSE,"CSS Inventory";#N/A,#N/A,FALSE,"CIG Inventory";#N/A,#N/A,FALSE,"IDEN Inventory";#N/A,#N/A,FALSE,"Capital CSS";#N/A,#N/A,FALSE,"Capital CIG";#N/A,#N/A,FALSE,"Capital iDEN";#N/A,#N/A,FALSE,"BACK UP CORPORATE"}</definedName>
    <definedName name="wrn.2._.pagers." hidden="1">{"Cover",#N/A,FALSE,"Cover";"Summary",#N/A,FALSE,"Summarpage"}</definedName>
    <definedName name="wrn.2_PCS." hidden="1">{#N/A,#N/A,FALSE,"Cover";#N/A,#N/A,FALSE,"General Assumptions";#N/A,#N/A,FALSE,"Comments CCS";#N/A,#N/A,FALSE,"BS CSS";#N/A,#N/A,FALSE,"P&amp;L CSS";#N/A,#N/A,FALSE,"Cash Flow CSS";#N/A,#N/A,FALSE,"MBR CSS";#N/A,#N/A,FALSE,"Headcount - CSS";#N/A,#N/A,FALSE,"CSS MFG";#N/A,#N/A,FALSE,"CSS Distr ";#N/A,#N/A,FALSE,"CSS Inventory";#N/A,#N/A,FALSE,"Capital CSS"}</definedName>
    <definedName name="wrn.3_CIG." hidden="1">{#N/A,#N/A,FALSE,"Cover";#N/A,#N/A,FALSE,"General Assumptions";#N/A,#N/A,FALSE,"Comments CIG";#N/A,#N/A,FALSE,"BS CIG";#N/A,#N/A,FALSE,"P&amp;L CIG";#N/A,#N/A,FALSE,"Cash Flow CIG";#N/A,#N/A,FALSE,"MBR CIG";#N/A,#N/A,FALSE,"Headcount - CIG";#N/A,#N/A,FALSE,"CIG MFG";#N/A,#N/A,FALSE,"CIG Inventory";#N/A,#N/A,FALSE,"Capital CIG"}</definedName>
    <definedName name="wrn.4_iDEN." hidden="1">{#N/A,#N/A,FALSE,"Cover";#N/A,#N/A,FALSE,"Comments IDEN";#N/A,#N/A,FALSE,"General Assumptions";#N/A,#N/A,FALSE,"Comments IDEN";#N/A,#N/A,FALSE,"BS IDEN";#N/A,#N/A,FALSE,"P&amp;L IDEN";#N/A,#N/A,FALSE,"Cash Flow IDEN";#N/A,#N/A,FALSE,"MBR IDEN";#N/A,#N/A,FALSE,"Headcount - IDEN";#N/A,#N/A,FALSE,"IDEN MFG";#N/A,#N/A,FALSE,"IDEN Inventory";#N/A,#N/A,FALSE,"Capital iDEN"}</definedName>
    <definedName name="wrn.5_Total._.Back._.Up." hidden="1">{#N/A,#N/A,FALSE,"BACK UP CIG";#N/A,#N/A,FALSE,"BACK UP Balance FDM";#N/A,#N/A,FALSE,"BACK UP ASP nsad";#N/A,#N/A,FALSE,"BACK UP CORPORATE"}</definedName>
    <definedName name="wrn.892A._.II." hidden="1">{#N/A,#N/A,FALSE,"Fund-II"}</definedName>
    <definedName name="wrn.892B._.II." hidden="1">{#N/A,#N/A,FALSE,"Fund-II"}</definedName>
    <definedName name="wrn.892C._.II." hidden="1">{#N/A,#N/A,FALSE,"Fund-II"}</definedName>
    <definedName name="wrn.ac." hidden="1">{#N/A,#N/A,FALSE,"B05ai.AC";#N/A,#N/A,FALSE,"B05aii.AC";#N/A,#N/A,FALSE,"B05aiii.AC";#N/A,#N/A,FALSE,"B07a.AC";#N/A,#N/A,FALSE,"B08a.AC";#N/A,#N/A,FALSE,"B09a.AC";#N/A,#N/A,FALSE,"B10a.AC";#N/A,#N/A,FALSE,"B11a.AC";#N/A,#N/A,FALSE,"B04a.AC";#N/A,#N/A,FALSE,"B03a.AC";#N/A,#N/A,FALSE,"B02a.AC"}</definedName>
    <definedName name="wrn.Accounting._.May." hidden="1">{#N/A,#N/A,TRUE,"Sum(2)";#N/A,#N/A,TRUE,"bs";#N/A,#N/A,TRUE,"pnl";#N/A,#N/A,TRUE,"BY DEPT 9605";#N/A,#N/A,TRUE,"BY S/A 9605"}</definedName>
    <definedName name="wrn.Accr.._.Liabilities." hidden="1">{#N/A,#N/A,FALSE,"gl";#N/A,#N/A,FALSE,"0017-Carlsberg";#N/A,#N/A,FALSE,"0019-Timber";#N/A,#N/A,FALSE,"0022-XiaoYa";#N/A,#N/A,FALSE,"0023-HangZhou Motorola";#N/A,#N/A,FALSE,"0042-AMP";#N/A,#N/A,FALSE,"0046-Rama";#N/A,#N/A,FALSE,"0051-Mitsubishi";#N/A,#N/A,FALSE,"0055-Haier GZS";#N/A,#N/A,FALSE,"0056-Broad Air Condition";#N/A,#N/A,FALSE,"0059-0-Kodak";#N/A,#N/A,FALSE,"0060-SJZ Press";#N/A,#N/A,FALSE,"0061-BJ Comfort";#N/A,#N/A,FALSE,"0062-Nacco";#N/A,#N/A,FALSE,"0063-Camp Carrol";#N/A,#N/A,FALSE,"0064-CoCo Coal";#N/A,#N/A,FALSE,"0066-Koito";#N/A,#N/A,FALSE,"0067-Carrefour";#N/A,#N/A,FALSE,"0073-Niger";#N/A,#N/A,FALSE,"0076-DMS";#N/A,#N/A,FALSE,"0077-New Venture";#N/A,#N/A,FALSE,"0082-Shuai Kang";#N/A,#N/A,FALSE,"0083-MingRi";#N/A,#N/A,FALSE,"0089-Haier AD";#N/A,#N/A,FALSE,"0090-WGQ";#N/A,#N/A,FALSE,"0092-Mattel";#N/A,#N/A,FALSE,"0093-MD";#N/A,#N/A,FALSE,"0095-Medical Warehouse";#N/A,#N/A,FALSE,"0096-Wiseman";#N/A,#N/A,FALSE,"0097-GYJ";#N/A,#N/A,FALSE,"0103-Zhuhai Dart";#N/A,#N/A,FALSE,"0104-Yantian Harbour";#N/A,#N/A,FALSE,"0105-Oriental";#N/A,#N/A,FALSE,"0106-Hanger";#N/A,#N/A,FALSE,"0107-ASB";#N/A,#N/A,FALSE,"0108-TJ MQ";#N/A,#N/A,FALSE,"0110-Terranvoa";#N/A,#N/A,FALSE,"0111-DMS No.2";#N/A,#N/A,FALSE,"0113-JiaHua Shoe";#N/A,#N/A,FALSE,"0115-DMS 7-3#";#N/A,#N/A,FALSE,"0116-DMS 7-4#";#N/A,#N/A,FALSE,"0117-DMS 7-1#";#N/A,#N/A,FALSE,"0118-LiYi";#N/A,#N/A,FALSE,"0119-MeiZhou Wan";#N/A,#N/A,FALSE,"0120-TaiFeng";#N/A,#N/A,FALSE,"0121-ShangFang";#N/A,#N/A,FALSE,"0122-TJ Cola";#N/A,#N/A,FALSE,"0123-XinJiang ZL";#N/A,#N/A,FALSE,"0124-Haier No.4";#N/A,#N/A,FALSE,"0125-DMS No.3";#N/A,#N/A,FALSE,"0126-DMS No.4";#N/A,#N/A,FALSE,"0127-DMS No.5";#N/A,#N/A,FALSE,"0128-DMS No.6";#N/A,#N/A,FALSE,"0129-Corning SHA";#N/A,#N/A,FALSE,"0130-WuNiu";#N/A,#N/A,FALSE,"0131-Knauf";#N/A,#N/A,FALSE,"0132-WSC";#N/A,#N/A,FALSE,"0133-Haier No.5";#N/A,#N/A,FALSE,"0134-AMP Shunde";#N/A,#N/A,FALSE,"0135-Karei";#N/A,#N/A,FALSE,"0137-Haier No.6";#N/A,#N/A,FALSE,"0138-Haier No.7";#N/A,#N/A,FALSE,"0139-Haier No.8";#N/A,#N/A,FALSE,"0140-MeiZhou Wan";#N/A,#N/A,FALSE,"0142-Auto Plant";#N/A,#N/A,FALSE,"0143-YunSheng";#N/A,#N/A,FALSE,"0146-Haier No.9";#N/A,#N/A,FALSE,"0147-DMS Stywall";#N/A,#N/A,FALSE,"0148-MD PhII";#N/A,#N/A,FALSE,"0149-Paper Making";#N/A,#N/A,FALSE,"0150-BeiRen";#N/A,#N/A,FALSE,"0151-ChengDa";#N/A,#N/A,FALSE,"0152-Haier Training Center";#N/A,#N/A,FALSE,"0153-XiaoBao";#N/A,#N/A,FALSE,"0155-CP";#N/A,#N/A,FALSE,"0156-SJ Ind. Zone";#N/A,#N/A,FALSE,"0157-YuKang";#N/A,#N/A,FALSE,"0158-DongSheng";#N/A,#N/A,FALSE,"0159-Chupa Chups";#N/A,#N/A,FALSE,"0161-ShenNei";#N/A,#N/A,FALSE,"0162-Delle";#N/A,#N/A,FALSE,"0163-BT ShengYang";#N/A,#N/A,FALSE,"0164-QiDong";#N/A,#N/A,FALSE,"0165-Homemart";#N/A,#N/A,FALSE,"0166-LeDa";#N/A,#N/A,FALSE,"0167-FND";#N/A,#N/A,FALSE,"0168-TianShi";#N/A,#N/A,FALSE,"0169-WuNiu PhII";#N/A,#N/A,FALSE,"0170-Exhibition Center";#N/A,#N/A,FALSE,"0172-SSC";#N/A,#N/A,FALSE,"0173-YunSheng PhII";#N/A,#N/A,FALSE,"0174-Exhibition Center PhII";#N/A,#N/A,FALSE,"0175-XT";#N/A,#N/A,FALSE,"0177-GE Xiamen";#N/A,#N/A,FALSE,"0178-DongDu";#N/A,#N/A,FALSE,"0179-JinBan";#N/A,#N/A,FALSE,"0180-BYF";#N/A,#N/A,FALSE,"0182-SW Airline";#N/A,#N/A,FALSE,"0183-Book Store";#N/A,#N/A,FALSE,"0184-QinShan";#N/A,#N/A,FALSE,"0185-RuSheng";#N/A,#N/A,FALSE,"0186-JAC GB";#N/A,#N/A,FALSE,"0187-UTA";#N/A,#N/A,FALSE,"0188-Rui Nan";#N/A,#N/A,FALSE,"0189-PH PuDong";#N/A,#N/A,FALSE,"0195-JAC PC";#N/A,#N/A,FALSE,"0196-XinYunFang";#N/A,#N/A,FALSE,"0197-JAC PTS";#N/A,#N/A,FALSE,"0201-QianJiang";#N/A,#N/A,FALSE,"0203-Pan Well Land";#N/A,#N/A,FALSE,"0205-Motorola Dining";#N/A,#N/A,FALSE,"0215-Dascom I";#N/A,#N/A,FALSE,"0221-Markor";#N/A,#N/A,FALSE,"0229-P &amp; G";#N/A,#N/A,FALSE,"B0001-Export Matel";#N/A,#N/A,FALSE,"B0002-Export Matel";#N/A,#N/A,FALSE,"B0003-Export Matel";#N/A,#N/A,FALSE,"B0004-Export Matel";#N/A,#N/A,FALSE,"B0005-Export Matel";#N/A,#N/A,FALSE,"B0006-Export Matel";#N/A,#N/A,FALSE,"B0007-Export Matel";#N/A,#N/A,FALSE,"B0008-Export Matel";#N/A,#N/A,FALSE,"B0009-Export Matel";#N/A,#N/A,FALSE,"B0010-Export Matel";#N/A,#N/A,FALSE,"B0011-Export Matel";#N/A,#N/A,FALSE,"B0012-Export Matel";#N/A,#N/A,FALSE,"B0013-Export Matel";#N/A,#N/A,FALSE,"B0014-Export Matel";#N/A,#N/A,FALSE,"B0015-Export Matel";#N/A,#N/A,FALSE,"B0016-Export Matel";#N/A,#N/A,FALSE,"B0017-Export Matel";#N/A,#N/A,FALSE,"B0019-Export Matel"}</definedName>
    <definedName name="wrn.Acct." hidden="1">{#N/A,#N/A,FALSE,"Face";#N/A,#N/A,FALSE,"gl";#N/A,#N/A,FALSE,"1001 Petty Cash - RMB";#N/A,#N/A,FALSE,"1002 Petty Cash - USD";#N/A,#N/A,FALSE,"1020 Bank - Comm - RMB";#N/A,#N/A,FALSE,"1021 Bank-ICBC-Rmb";#N/A,#N/A,FALSE,"1022 Bank-Ind-RMB";#N/A,#N/A,FALSE,"1029 Bank-Ind Base-USD";#N/A,#N/A,FALSE,"1101Trade AR-Domestic";#N/A,#N/A,FALSE,"1111 Trade AR-Export";#N/A,#N/A,FALSE,"Inter AR-Off";#N/A,#N/A,FALSE,"1211Inter AR-BWT(Off Exp)";#N/A,#N/A,FALSE,"1211Inter AR-BWT(KC) USD";#N/A,#N/A,FALSE,"1211Inter AR-BWT(KC) RMB";#N/A,#N/A,FALSE,"1251 Other AR-Employee";#N/A,#N/A,FALSE,"1272 Other AR-Airfare";#N/A,#N/A,FALSE,"1281 Note Receivable-Customer";#N/A,#N/A,FALSE,"1282 Note Receiveable-Others";#N/A,#N/A,FALSE,"1283 Note Receiveable-Comm Cust";#N/A,#N/A,FALSE,"14011301 Inventory-Raw Matel";#N/A,#N/A,FALSE,"14011302 Inventory-Coil Center";#N/A,#N/A,FALSE,"14011308 WIP - Coil Center";#N/A,#N/A,FALSE,"14011399  Inv Transfer Interim";#N/A,#N/A,FALSE,"14111311 Package Matel";#N/A,#N/A,FALSE,"14611321 F.G.-MS,PS";#N/A,#N/A,FALSE,"14611331 F.G. -MO";#N/A,#N/A,FALSE,"1361 WIP-Matel.";#N/A,#N/A,FALSE,"14611399 Inventory Adjust";#N/A,#N/A,FALSE,"133201 Job Cost - PO";#N/A,#N/A,FALSE,"133202 Job Cost - MS,PS";#N/A,#N/A,FALSE,"133203 Job Cost - MO";#N/A,#N/A,FALSE,"133204 Job Cost - Dept Exp";#N/A,#N/A,FALSE,"133205 Job Cost - Labour";#N/A,#N/A,FALSE,"133206 Job Cost-PO for Buyout";#N/A,#N/A,FALSE,"133207 Job Cost - Tools";#N/A,#N/A,FALSE,"133208 Job Cost -Commission";#N/A,#N/A,FALSE,"133209 Job Cost -Others";#N/A,#N/A,FALSE,"133210 Job Cost -Drawing Appr.";#N/A,#N/A,FALSE,"133211 Job Cost -Insurance";#N/A,#N/A,FALSE,"133212 Job Cost -Freight";#N/A,#N/A,FALSE,"133213 Job Cost-Imp Duty";#N/A,#N/A,FALSE,"133214 Job Cost-Erect";#N/A,#N/A,FALSE,"14611340 RPL Interim";#N/A,#N/A,FALSE,"14611341 MO Interim";#N/A,#N/A,FALSE,"14611342 TP Delivery Interim";#N/A,#N/A,FALSE,"14611360 Job Cost - WIP -MO";#N/A,#N/A,FALSE,"1333 Proposal Inv";#N/A,#N/A,FALSE,"11711401Prepaid Supp.RMB";#N/A,#N/A,FALSE,"11711402 Prepaid Supp.USD";#N/A,#N/A,FALSE,"1503 Land";#N/A,#N/A,FALSE,"1505 Software";#N/A,#N/A,FALSE,"1603A.A.mortization-Land";#N/A,#N/A,FALSE,"1600 A.Amortization-Software";#N/A,#N/A,FALSE,"Construction";#N/A,#N/A,FALSE,"16011721 Fixed Assets-Bldg";#N/A,#N/A,FALSE,"16011722 Fixed Assets-Equip";#N/A,#N/A,FALSE,"16011723 Fixed Assets-Sys Equip";#N/A,#N/A,FALSE,"16011724 Fixed Assets-Off Equip";#N/A,#N/A,FALSE,"16011725 Fixed Assets-Vehicles";#N/A,#N/A,FALSE,"16011726 Fixed Assets-Misc";#N/A,#N/A,FALSE,"16211621 Disposal FA";#N/A,#N/A,FALSE,"1801 Depreciation-Bldg";#N/A,#N/A,FALSE,"1802 Depreciation -Equip";#N/A,#N/A,FALSE,"1803 Depreciation -System";#N/A,#N/A,FALSE,"1804 Depreciation -Fur. &amp; Equip";#N/A,#N/A,FALSE,"1805 Depreciation -Vehicles";#N/A,#N/A,FALSE,"1806 Depreciation -Misc";#N/A,#N/A,FALSE,"1901Org. Exp";#N/A,#N/A,FALSE,"1902 FX G or L";#N/A,#N/A,FALSE,"2001Acct.Payable-RMB";#N/A,#N/A,FALSE,"2002Acct.Payable-USD";#N/A,#N/A,FALSE,"2181200201 Accr.Liab-Job-F.G.";#N/A,#N/A,FALSE,"2181200202 Accr.Liab-Job-Dept ";#N/A,#N/A,FALSE,"2181200203 Accr.Liab-Job-PO";#N/A,#N/A,FALSE,"2181200204 Accr.Liab-Job-Tools";#N/A,#N/A,FALSE,"2181200205 Accr.Liab-Job-Comm";#N/A,#N/A,FALSE,"2181200206 Accr.Liab-Drawing Ap";#N/A,#N/A,FALSE,"2181200208 Accr.Liab-Job-Frght";#N/A,#N/A,FALSE,"2181200210 Accr.Liab-Job-Others";#N/A,#N/A,FALSE,"2003Accr.Liabilities-Misc.";#N/A,#N/A,FALSE,"2004Accr.Liabilities-Tools";#N/A,#N/A,FALSE,"2002 Accr.Liabilities-Inventory";#N/A,#N/A,FALSE,"21218000 Inovices Receipts";#N/A,#N/A,FALSE,"21412061 Tax Payable-Income ";#N/A,#N/A,FALSE,"21412062 Tax Payable-Vat(In)";#N/A,#N/A,FALSE,"21412063 Tax Payable-Vat(Out)";#N/A,#N/A,FALSE,"21412064 Tax Pay-Come Out Vat";#N/A,#N/A,FALSE,"21412065Tax Payable-Paid Tax";#N/A,#N/A,FALSE,"21412071 Tax Payable-Ind";#N/A,#N/A,FALSE,"21412072 Tax Payable-Business";#N/A,#N/A,FALSE,"2131 Accrue Payroll";#N/A,#N/A,FALSE,"2139Other AP-BSI Prj";#N/A,#N/A,FALSE,"2171 Other AP-Misc";#N/A,#N/A,FALSE,"2421 Adv From Customer-Domestic";#N/A,#N/A,FALSE,"2422 Adv From Customer-Export";#N/A,#N/A,FALSE,"3001 Capital";#N/A,#N/A,FALSE,"3002 Capital Surplus";#N/A,#N/A,FALSE,"31013021-Reserve Fund";#N/A,#N/A,FALSE,"3110 Return Earning";#N/A,#N/A,FALSE,"5001 Sales-Bld Sys (Local)";#N/A,#N/A,FALSE,"5003 Sales-Service";#N/A,#N/A,FALSE,"5004 Sales-Bld Sys (Export)";#N/A,#N/A,FALSE,"5005 Sales-Incompany";#N/A,#N/A,FALSE,"5111 Sales Tax";#N/A,#N/A,FALSE,"5201 COGS (Local)-Building";#N/A,#N/A,FALSE,"5203 COGS-Service";#N/A,#N/A,FALSE,"5204 COGS (Export)-Building";#N/A,#N/A,FALSE,"5205 COGS-Intercompany";#N/A,#N/A,FALSE,"5301 PPV";#N/A,#N/A,FALSE,"5302 Material Usage Variance";#N/A,#N/A,FALSE,"5303 Physical Inv.Adjustment";#N/A,#N/A,FALSE,"5304 Factory Overhead Absorptio";#N/A,#N/A,FALSE,"52018680 Inc From Other Op";#N/A,#N/A,FALSE,"52118682 Exp From Other Op";#N/A,#N/A,FALSE,"5501 Non-operation Income";#N/A,#N/A,FALSE,"5601 Non-operation Expenses";#N/A,#N/A,FALSE,"59005900 Income Tax-????¡ì???????";#N/A,#N/A,FALSE,"8227 Bank &amp; Financial Charges";#N/A,#N/A,FALSE,"8690 Interest Exp-Inc";#N/A,#N/A,FALSE,"8700Interest On Other Loans";#N/A,#N/A,FALSE,"8710 G&amp;L Foreign Exchange";#N/A,#N/A,FALSE,"9999-Interim Account"}</definedName>
    <definedName name="wrn.ACIONCONSELHO._.01." hidden="1">{"CAPA CONSELHO(FISCAL)ACIONISTAS",#N/A,TRUE,"capa (2)";"CAPITAL 2002",#N/A,TRUE,"capital (2)";"INDICES2002",#N/A,TRUE,"índices bal (2)";"BAL(B)2002",#N/A,TRUE,"BAL B (2)";"RESULTADO 01",#N/A,TRUE,"resultado";"RESULTADO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01",#N/A,TRUE,"ebitda";"FLUXO(B)2002",#N/A,TRUE,"FLUXO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2." hidden="1">{"CAPA CONSELHO(FISCAL)ACIONISTAS",#N/A,TRUE,"capa (2)";"CAPITAL 2002",#N/A,TRUE,"capital (2)";"INDICES2002",#N/A,TRUE,"índices bal (2)";"BAL(B)2002",#N/A,TRUE,"BAL B (2)";"RESULTADO 02",#N/A,TRUE,"resultado";"RESULTADO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02",#N/A,TRUE,"ebitda";"FLUXO(B)2002",#N/A,TRUE,"FLUXO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3." hidden="1">{"CAPA CONSELHO(FISCAL)ACIONISTAS",#N/A,TRUE,"capa (2)";"CAPITAL 2002",#N/A,TRUE,"capital (2)";"INDICES2002",#N/A,TRUE,"índices bal (2)";"BAL(B)2002",#N/A,TRUE,"BAL B (2)";"RESULTADO 03",#N/A,TRUE,"resultado";"RESULTADO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03",#N/A,TRUE,"ebitda";"FLUXO(B)2002",#N/A,TRUE,"FLUXO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4." hidden="1">{"CAPA CONSELHO(FISCAL)ACIONISTAS",#N/A,TRUE,"capa (2)";"CAPITAL 2002",#N/A,TRUE,"capital (2)";"INDICES2002",#N/A,TRUE,"índices bal (2)";"BAL(B)2002",#N/A,TRUE,"BAL B (2)";"RESULTADO 04",#N/A,TRUE,"resultado";"RESULTADO mes a mes (B)2002",#N/A,TRUE,"resultado";"DOAR(B)2002",#N/A,TRUE,"DOAR B (2)";"ESTOQUE(B)2002",#N/A,TRUE,"mutação B (2)";"ESTOQUE(B)2002",#N/A,TRUE,"estoque";"PERMANENTE(B)2002",#N/A,TRUE,"permanente B (2)";"PERFIL(B)2002",#N/A,TRUE,"PERFIL B (2)";"EBITDA 04",#N/A,TRUE,"ebitda";"FLUXO(B)2002",#N/A,TRUE,"FLUXO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5." hidden="1">{"CAPA CONSELHO(FISCAL)ACIONISTAS",#N/A,TRUE,"capa (2)";"CAPITAL 2002",#N/A,TRUE,"capital (2)";"INDICES2002",#N/A,TRUE,"índices bal (2)";"BAL(B)2002",#N/A,TRUE,"BAL B (2)";"RESULTADO 05",#N/A,TRUE,"resultado";"RESULTADO mes a mes (B)2002",#N/A,TRUE,"resultado";"DOAR(B)2002",#N/A,TRUE,"DOAR B (2)";"MUTAÇÃO(B)2002",#N/A,TRUE,"mutação B (2)";"ESTOQUE(B)2002",#N/A,TRUE,"estoque";"PERMANENTE(B)2002",#N/A,TRUE,"permanente B (2)";"PERFIL(B)2002",#N/A,TRUE,"PERFIL B (2)";"EBITDA 05",#N/A,TRUE,"ebitda";"FLUXO(B)2002",#N/A,TRUE,"FLUXO B (2)";"PROVISÕES2002",#N/A,TRUE,"prov-contas a receber";"CAPA CONTROLADORA",#N/A,TRUE,"capa (2)";"BAL(A)2002",#N/A,TRUE,"BAL A (2)";"RESULTADO mes a mes (A)2002",#N/A,TRUE,"resultado";"MUTAÇÃO(A)2002",#N/A,TRUE,"mutação A (2)";"DOAR(A)2002",#N/A,TRUE,"DOAR A (2)";"ESTOQUE(A)2002",#N/A,TRUE,"estoque";"PERMANENTE(A)2002",#N/A,TRUE,"permanente A (2)"}</definedName>
    <definedName name="wrn.ACIONCONSELHO._.06." hidden="1">{"CAPAGERENCIAL&amp;DIRETORIA",#N/A,TRUE,"capa (2)";"CAPITAL 2002",#N/A,TRUE,"capital (2)";"INDICES2002",#N/A,TRUE,"índices bal (2)";"BAL(B)2002",#N/A,TRUE,"BAL B (2)";"RESULTADO 06",#N/A,TRUE,"resultado";"RESULTADO mes a mes (B)2002",#N/A,TRUE,"mês a mês (2)";"DOAR(B)2002",#N/A,TRUE,"DOAR B (2)";"MUTAÇÃO(B)2002",#N/A,TRUE,"mutação B (2)";"ESTOQUE(B)2002",#N/A,TRUE,"estoque";"PERMANENTE(B)2002",#N/A,TRUE,"permanente B (2)";"PERFIL(B)2002",#N/A,TRUE,"PERFIL B (2)";"EBITDA 06",#N/A,TRUE,"ebitda";"FLUXO(B)2002",#N/A,TRUE,"FLUXO B (2)";"PROVISÕES2002",#N/A,TRUE,"prov-contas a receber";"CAPA CONTROLADORA",#N/A,TRUE,"capa (2)";"BAL(A)2002",#N/A,TRUE,"BAL A (2)";"RESULTADO mes a mes (A)2002",#N/A,TRUE,"mês a mês (2)";"MUTAÇÃO(A)2002",#N/A,TRUE,"mutação A (2)";"DOAR(A)2002",#N/A,TRUE,"DOAR A (2)";"ESTOQUE(A)2002",#N/A,TRUE,"estoque";"PERMANENTE(A)2002",#N/A,TRUE,"permanente A (2)"}</definedName>
    <definedName name="wrn.ACIONCONSELHO._.07." hidden="1">{"CAPA CONSELHO(FISCAL)ACIONISTAS",#N/A,TRUE,"capa (2)";"CAPITAL 2002",#N/A,TRUE,"capital (2)";"INDICES2002",#N/A,TRUE,"índices bal (2)";"BAL(B)2002",#N/A,TRUE,"BAL B (2)";"RESULTADO 07",#N/A,TRUE,"resultado";"RESULTADO mes a mes (B)2002",#N/A,TRUE,"mês a mês (2)";"DOAR(B)2002",#N/A,TRUE,"DOAR B (2)";"MUTAÇÃO(B)2002",#N/A,TRUE,"mutação B (2)";"ESTOQUE(B)2002",#N/A,TRUE,"estoque";"PERMANENTE(B)2002",#N/A,TRUE,"permanente B (2)";"PERFIL(B)2002",#N/A,TRUE,"PERFIL B (2)";"EBITDA 07",#N/A,TRUE,"ebitda";"FLUXO(B)2002",#N/A,TRUE,"FLUXO B (2)";"PROVISÕES2002",#N/A,TRUE,"prov-contas a receber";"CAPA CONTROLADORA",#N/A,TRUE,"capa (2)";"BAL(A)2002",#N/A,TRUE,"BAL A (2)";"RESULTADO mes a mes (A)2002",#N/A,TRUE,"mês a mês (2)";"MUTAÇÃO(A)2002",#N/A,TRUE,"mutação A (2)";"DOAR(A)2002",#N/A,TRUE,"DOAR A (2)";"ESTOQUE(A)2002",#N/A,TRUE,"estoque";"PERMANENTE(A)2002",#N/A,TRUE,"permanente A (2)"}</definedName>
    <definedName name="wrn.ACIONCONSELHO._.08." hidden="1">{"CAPA CONSELHO(FISCAL)ACIONISTAS",#N/A,TRUE,"capa (2)";"CAPITAL 2002",#N/A,TRUE,"capital (2)";"INDICES2002",#N/A,TRUE,"índices bal (2)";"BAL(B)2002",#N/A,TRUE,"BAL B (2)";"RESULTADO 08",#N/A,TRUE,"resultado";"RESULTADO mes a mes (B)2002",#N/A,TRUE,"mês a mês (2)";"DOAR(B)2002",#N/A,TRUE,"DOAR B (2)";"MUTAÇÃO(B)2002",#N/A,TRUE,"mutação B (2)";"ESTOQUE(B)2002",#N/A,TRUE,"estoque";"PERMANENTE(B)2002",#N/A,TRUE,"permanente B (2)";"PERFIL(B)2002",#N/A,TRUE,"PERFIL B (2)";"EBITDA 08",#N/A,TRUE,"ebitda";"FLUXO(B)2002",#N/A,TRUE,"FLUXO B (2)";"PROVISÕES2002",#N/A,TRUE,"prov-contas a receber";"CAPA CONTROLADORA",#N/A,TRUE,"capa (2)";"BAL(A)2002",#N/A,TRUE,"BAL A (2)";"RESULTADO mes a mes (A)2002",#N/A,TRUE,"mês a mês (2)";"MUTAÇÃO(A)2002",#N/A,TRUE,"mutação A (2)";"DOAR(A)2002",#N/A,TRUE,"DOAR A (2)";"ESTOQUE(A)2002",#N/A,TRUE,"estoque";"PERMANENTE(A)2002",#N/A,TRUE,"permanente A (2)"}</definedName>
    <definedName name="wrn.ACIONCONSELHO._.09." hidden="1">{"CAPA CONSELHO(FISCAL)ACIONISTAS",#N/A,TRUE,"capa (2)";"CAPITAL 2002",#N/A,TRUE,"capital (2)";"INDICES2002",#N/A,TRUE,"índices bal (2)";"BAL(B)2002",#N/A,TRUE,"BAL B (2)";"RESULTADO 09",#N/A,TRUE,"resultado";"RESULTADO mes a mes (B)2002",#N/A,TRUE,"mês a mês (2)";"DOAR(B)2002",#N/A,TRUE,"DOAR B (2)";"MUTAÇÃO(B)2002",#N/A,TRUE,"mutação B (2)";"ESTOQUE(B)2002",#N/A,TRUE,"estoque";"PERMANENTE(B)2002",#N/A,TRUE,"permanente B (2)";"PERFIL(B)2002",#N/A,TRUE,"PERFIL B (2)";"EBTIDA 09",#N/A,TRUE,"ebitda";"FLUXO(B)2002",#N/A,TRUE,"FLUXO B (2)";"PROVISÕES2002",#N/A,TRUE,"prov-contas a receber";"CAPA CONTROLADORA",#N/A,TRUE,"capa (2)";"BAL(A)2002",#N/A,TRUE,"BAL A (2)";"RESULTADO mes a mes (A)2002",#N/A,TRUE,"mês a mês (2)";"MUTAÇÃO(A)2002",#N/A,TRUE,"mutação A (2)";"DOAR(A)2002",#N/A,TRUE,"DOAR A (2)";"ESTOQUE(A)2002",#N/A,TRUE,"estoque";"PERMANENTE(A)2002",#N/A,TRUE,"permanente A (2)"}</definedName>
    <definedName name="wrn.ACIONCONSELHO._.11." hidden="1">{"CAPA CONSELHO(FISCAL)ACIONISTAS",#N/A,TRUE,"capa (2)";"CAPITAL 2002",#N/A,TRUE,"capital (2)";"INDICES2002",#N/A,TRUE,"índices bal (2)";"BAL(B)2002",#N/A,TRUE,"BAL B (2)";"RESULTADO 11",#N/A,TRUE,"resultado";"RESULTADO mes a mes (B)2002",#N/A,TRUE,"mês a mês (2)";"DOAR(B)2002",#N/A,TRUE,"DOAR B (2)";"MUTAÇÃO(B)2002",#N/A,TRUE,"mutação B (2)";"ESTOQUE(B)2002",#N/A,TRUE,"estoque";"PERMANENTE(B)2002",#N/A,TRUE,"permanente B (2)";"PERFIL(B)2002",#N/A,TRUE,"PERFIL B (2)";"EBTIDA 11",#N/A,TRUE,"ebitda";"FLUXO(B)2002",#N/A,TRUE,"FLUXO B (2)";"PROVISÕES2002",#N/A,TRUE,"prov-contas a receber";"CAPA CONTROLADORA",#N/A,TRUE,"capa (2)";"BAL(A)2002",#N/A,TRUE,"BAL A (2)";"RESULTADO mes a mes (A)2002",#N/A,TRUE,"mês a mês (2)";"MUTAÇÃO(A)2002",#N/A,TRUE,"mutação A (2)";"DOAR(A)2002",#N/A,TRUE,"DOAR A (2)";"ESTOQUE(A)2002",#N/A,TRUE,"estoque";"PERMANENTE(A)2002",#N/A,TRUE,"permanente A (2)"}</definedName>
    <definedName name="wrn.ACIONCONSELHO._.12." hidden="1">{"CAPA CONSELHO(FISCAL)ACIONISTAS",#N/A,TRUE,"capa (2)";"CAPITAL 2002",#N/A,TRUE,"capital (2)";"INDICES2002",#N/A,TRUE,"índices bal (2)";"BAL(B)2002",#N/A,TRUE,"BAL B (2)";"RESULTADO 12",#N/A,TRUE,"resultado";"RESULTADO mes a mes (B)2002",#N/A,TRUE,"mês a mês (2)";"DOAR(B)2002",#N/A,TRUE,"DOAR B (2)";"MUTAÇÃO(B)2002",#N/A,TRUE,"mutação B (2)";"ESTOQUE(B)2002",#N/A,TRUE,"estoque";"PERMANENTE(B)2002",#N/A,TRUE,"permanente B (2)";"PERFIL(B)2002",#N/A,TRUE,"PERFIL B (2)";"EBTIDA 12",#N/A,TRUE,"ebitda";"FLUXO(B)2002",#N/A,TRUE,"FLUXO B (2)";"PROVISÕES2002",#N/A,TRUE,"prov-contas a receber";"CAPA CONTROLADORA",#N/A,TRUE,"capa (2)";"BAL(A)2002",#N/A,TRUE,"BAL A (2)";"RESULTADO mes a mes (A)2002",#N/A,TRUE,"mês a mês (2)";"MUTAÇÃO(A)2002",#N/A,TRUE,"mutação A (2)";"DOAR(A)2002",#N/A,TRUE,"DOAR A (2)";"ESTOQUE(A)2002",#N/A,TRUE,"estoque";"PERMANENTE(A)2002",#N/A,TRUE,"permanente A (2)"}</definedName>
    <definedName name="wrn.ACIONCONSELHO052004." hidden="1">{"CAPA CONSELHO FISCAL",#N/A,TRUE,"capa (2)";"CAPITAL 2003",#N/A,TRUE,"capital (2)";"INDICES2003",#N/A,TRUE,"índices bal (2)";"BAL(B)2003",#N/A,TRUE,"BAL B (2)";"RESULTADO 05",#N/A,TRUE,"resultado";"EBTIDA 05",#N/A,TRUE,"ebitda";"RESULTADO mes a mes (B)2003",#N/A,TRUE,"mês a mês (2)";"DOAR(B)2003",#N/A,TRUE,"DOAR B (2)";"MUTAÇÃO(B)2003",#N/A,TRUE,"mutação B (2)";"ESTOQUE(B)2003",#N/A,TRUE,"estoque";"PERMANENTE(B)2003",#N/A,TRUE,"permanente B (2)";"PERFIL(B)2004",#N/A,TRUE,"PERFIL B (2)";"FLUXO(B)2003",#N/A,TRUE,"FLUXO B (2)";"PROVISÕES2003",#N/A,TRUE,"prov-contas a receber";"CAPA CONTROLADORA",#N/A,TRUE,"capa (2)";"BAL(A)2003",#N/A,TRUE,"BAL A (2)";"RESULTADO mes a mes (A)2003",#N/A,TRUE,"mês a mês (2)";"MUTAÇÃO(A)2003",#N/A,TRUE,"mutação A (2)";"DOAR(A)2003",#N/A,TRUE,"DOAR A (2)";"ESTOQUE(A)2003",#N/A,TRUE,"estoque";"PERMANENTE(A)2003",#N/A,TRUE,"permanente A (2)"}</definedName>
    <definedName name="wrn.Actual._.All._.Companies." hidden="1">{"Company analysis actual",#N/A,FALSE,"Company Analysis";"Period analysis actual",#N/A,FALSE,"Period analysis";"Cons Adj. actual",#N/A,FALSE,"Consol Adj";"Consol Adj. detail actual",#N/A,FALSE,"Consol Adj detail";"NWL Actual",#N/A,FALSE,"NWL";"ESW Actual",#N/A,FALSE,"ESW";"NLI Actual",#N/A,FALSE,"NLI";"GIB Actual",#N/A,FALSE,"GIB";"Entec UK Actual",#N/A,FALSE,"ENTEC UK";"Entec Europe Actual",#N/A,FALSE,"ENTEC EUR";"ULG Actual",#N/A,FALSE,"ULG";"Agrer Actual",#N/A,FALSE,"AGRER";"AES Actual",#N/A,FALSE,"AES";"Imass Actual",#N/A,FALSE,"IMASS";"NLTRC Actual",#N/A,FALSE,"NLTRC";"CPIL Actual",#N/A,FALSE,"CPIL";"NWG Actual",#N/A,FALSE,"NWG";"FPS Actual",#N/A,FALSE,"FPS";"NEW Actual",#N/A,FALSE,"NEW";"SMCL Actual",#N/A,FALSE,"SMCL";"NH Actual",#N/A,FALSE,"NH"}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{#N/A,#N/A,FALSE,"SUM";#N/A,#N/A,FALSE,"SK_TOT";#N/A,#N/A,FALSE,"YM";#N/A,#N/A,FALSE,"TSMC";#N/A,#N/A,FALSE,"ICW";#N/A,#N/A,FALSE,"Sheet1"}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M._.Scheduleds。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_Package." hidden="1">{#N/A,#N/A,FALSE,"Comments PCS";#N/A,#N/A,FALSE,"Comments CIG";#N/A,#N/A,FALSE,"Comments IDEN";#N/A,#N/A,FALSE,"BS PCS";#N/A,#N/A,FALSE,"BS CIG";#N/A,#N/A,FALSE,"BS IDEN";#N/A,#N/A,FALSE,"BS TOTAL";#N/A,#N/A,FALSE,"P&amp;L PCS";#N/A,#N/A,FALSE,"P&amp;L CIG";#N/A,#N/A,FALSE,"P&amp;L FWT";#N/A,#N/A,FALSE,"P&amp;L IDEN";#N/A,#N/A,FALSE,"P&amp;L TOTAL";#N/A,#N/A,FALSE,"Cash Flow PCS";#N/A,#N/A,FALSE,"Cash Flow CIG";#N/A,#N/A,FALSE,"Cash Flow IDEN";#N/A,#N/A,FALSE,"Cash Flow Total";#N/A,#N/A,FALSE,"MBR PCS";#N/A,#N/A,FALSE,"MBR CIG";#N/A,#N/A,FALSE,"MBR iDEN";#N/A,#N/A,FALSE,"MBR_FWT";#N/A,#N/A,FALSE,"MBR TOTAL";#N/A,#N/A,FALSE,"Headcount PCS";#N/A,#N/A,FALSE,"Headcount CIG";#N/A,#N/A,FALSE,"Headcount iDEN";#N/A,#N/A,FALSE,"Headcount Total";#N/A,#N/A,FALSE,"FAB UN CSG ";#N/A,#N/A,FALSE,"FAB UN PPG";#N/A,#N/A,FALSE,"FAB UN CIG";#N/A,#N/A,FALSE,"FAB UN IDEN";#N/A,#N/A,FALSE,"FAB UN FWT";#N/A,#N/A,FALSE,"CSS MFG";#N/A,#N/A,FALSE,"CSS Distr";#N/A,#N/A,FALSE,"CSG 6-Up Charts";#N/A,#N/A,FALSE,"CIG MFG";#N/A,#N/A,FALSE,"IDEN MFG";#N/A,#N/A,FALSE,"IDEN 6-Up Charts  ";#N/A,#N/A,FALSE,"FWT MFG";#N/A,#N/A,FALSE,"FWT 6-Up Charts ";#N/A,#N/A,FALSE,"PCS Inventory";#N/A,#N/A,FALSE,"CIG Inventory";#N/A,#N/A,FALSE,"IDEN Inventory";#N/A,#N/A,FALSE,"CE JAG Inventory";#N/A,#N/A,FALSE,"Capital Expenditures";#N/A,#N/A,FALSE,"FM CSG";#N/A,#N/A,FALSE,"NSAD ASP CGS";#N/A,#N/A,FALSE,"FM CIG";#N/A,#N/A,FALSE,"NSAD ASP CIG";#N/A,#N/A,FALSE,"FM iDEN";#N/A,#N/A,FALSE,"NSAD IDEN";#N/A,#N/A,FALSE,"PCS Credit";#N/A,#N/A,FALSE,"R&amp;D  Report";#N/A,#N/A,FALSE,"CSG Mrg Analysis";#N/A,#N/A,FALSE,"CIG Mrg Analysis";#N/A,#N/A,FALSE,"IDEN Mrg Analysis"}</definedName>
    <definedName name="wrn.ANALITICO._.COMPLETO." hidden="1">{"ativo analítico",#N/A,FALSE,"BALmar97";"passivo analítico",#N/A,FALSE,"BALmar97";"resultado analítico",#N/A,FALSE,"BALmar97"}</definedName>
    <definedName name="wrn.AnnualRentRoll" hidden="1">{"AnnualRentRoll",#N/A,FALSE,"RentRoll"}</definedName>
    <definedName name="wrn.AnnualRentRoll." hidden="1">{"AnnualRentRoll",#N/A,FALSE,"RentRoll"}</definedName>
    <definedName name="wrn.AR._.Meeting._.Schedules." hidden="1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U._.검사성적서." hidden="1">{#N/A,#N/A,FALSE,"을지 (4)";#N/A,#N/A,FALSE,"을지 (5)";#N/A,#N/A,FALSE,"을지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B.._.Sheet._.Personnel._.and._.C.._.Flow." hidden="1">{#N/A,#N/A,FALSE,"Ass-Plan";#N/A,#N/A,FALSE,"Ass-Mon";#N/A,#N/A,FALSE,"Liab-Plan";#N/A,#N/A,FALSE,"Liab-Mon";#N/A,#N/A,FALSE,"Bal-Plan";#N/A,#N/A,FALSE,"Bal-Mon";#N/A,#N/A,FALSE,"Bal-Com";#N/A,#N/A,FALSE,"Per-Plan";#N/A,#N/A,FALSE,"Per-Mon";#N/A,#N/A,FALSE,"Per-Comment";#N/A,#N/A,FALSE,"Exp Analysis";#N/A,#N/A,FALSE,"Cash-Mon";#N/A,#N/A,FALSE,"Cash-Plan";#N/A,#N/A,FALSE,"StrWeak"}</definedName>
    <definedName name="wrn.Backup._.Corporate." hidden="1">{#N/A,#N/A,FALSE,"BACK UP CORPORATE"}</definedName>
    <definedName name="wrn.Bal_Sht_Inc_Stmt." hidden="1">{"Income_Statement",#N/A,FALSE,"XNV";"Balance_Sheet",#N/A,FALSE,"XNV"}</definedName>
    <definedName name="wrn.Balance_Sheet." hidden="1">{"Balance_Sheet",#N/A,FALSE,"XNV"}</definedName>
    <definedName name="wrn.BALANÇOS." hidden="1">{"SOC E MEN balanços",#N/A,FALSE,"BALFEV97"}</definedName>
    <definedName name="wrn.bgt97." hidden="1">{#N/A,#N/A,FALSE,"national";#N/A,#N/A,FALSE,"GZ";#N/A,#N/A,FALSE,"BJ";#N/A,#N/A,FALSE,"SH";#N/A,#N/A,FALSE,"ZJ"}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udget._.All._.Companies." hidden="1">{"Company analysis budget",#N/A,FALSE,"Company Analysis";"Period analysis budget",#N/A,FALSE,"Period analysis";"Cons Adj. budget",#N/A,FALSE,"Consol Adj";"NWL Budget",#N/A,FALSE,"NWL";"ESW Budget",#N/A,FALSE,"ESW";"NWCSL Budget",#N/A,FALSE,"NWCSL";"NLI Budget",#N/A,FALSE,"NLI";"CES Budget",#N/A,FALSE,"CES";"NLE Budget",#N/A,FALSE,"NLE";"GIB Budget",#N/A,FALSE,"GIB";"Entec UK Budget",#N/A,FALSE,"ENTEC UK";"Entec Europe Budget",#N/A,FALSE,"ENTEC EUR";"ULG Budget",#N/A,FALSE,"ULG";"Agrer Budget",#N/A,FALSE,"AGRER";"AES Budget",#N/A,FALSE,"AES";"Imass Budget",#N/A,FALSE,"IMASS";"NLTRC Budget",#N/A,FALSE,"NLTRC";"CPIL Budget",#N/A,FALSE,"CPIL";"NWG Budget",#N/A,FALSE,"NWG";"FPS Budget",#N/A,FALSE,"FPS";"NEW Budget",#N/A,FALSE,"NEW";"SMCL Budget",#N/A,FALSE,"SMCL";"NH Budget",#N/A,FALSE,"NH"}</definedName>
    <definedName name="wrn.CAFF." hidden="1">{#N/A,#N/A,FALSE,"Prämissen";#N/A,#N/A,FALSE,"Einlagen";#N/A,#N/A,FALSE,"GuV in RMB";#N/A,#N/A,FALSE,"ch0611";#N/A,#N/A,FALSE,"GuV in DM";#N/A,#N/A,FALSE,"Finanzplan";#N/A,#N/A,FALSE,"Bilanz";#N/A,#N/A,FALSE,"Personal";#N/A,#N/A,FALSE,"Investitionen";#N/A,#N/A,FALSE,"Abschreibungen";#N/A,#N/A,FALSE,"remaining values";#N/A,#N/A,FALSE,"AbschreibungenÜ.";#N/A,#N/A,FALSE,"Geschäftsausstattung";#N/A,#N/A,FALSE,"Betriebsausstattung";#N/A,#N/A,FALSE,"Fuhrpark";#N/A,#N/A,FALSE,"SonstigeAufwendungen";#N/A,#N/A,FALSE,"Kostensteuern";#N/A,#N/A,FALSE,"Gebühren,Beiträge";#N/A,#N/A,FALSE,"Reparatur u. Instand";#N/A,#N/A,FALSE,"Schulung";#N/A,#N/A,FALSE,"Versicherungen";#N/A,#N/A,FALSE,"Vorrichtungen,etc.";#N/A,#N/A,FALSE,"Lizenzen";#N/A,#N/A,FALSE,"Betriebsergebnis";#N/A,#N/A,FALSE,"Kapitalflußrechnung";#N/A,#N/A,FALSE,"materialLFT";#N/A,#N/A,FALSE,"Umsatz Material Volvo Project"}</definedName>
    <definedName name="wrn.Capex." hidden="1">{#N/A,#N/A,TRUE,"Capex Summ";#N/A,#N/A,TRUE,"Essential Works.tw";#N/A,#N/A,TRUE,"Desirable Works.tw";#N/A,#N/A,TRUE,"Essential Works.rt";#N/A,#N/A,TRUE,"Desirable Works.rt";#N/A,#N/A,TRUE,"Mthly";#N/A,#N/A,TRUE,"Essential Works.ht";#N/A,#N/A,TRUE,"Desirable Works.ht";#N/A,#N/A,TRUE,"Incentives"}</definedName>
    <definedName name="wrn.CIG." hidden="1">{#N/A,#N/A,FALSE,"Cover";#N/A,#N/A,FALSE,"Comments CIG";#N/A,#N/A,FALSE,"BS CIG";#N/A,#N/A,FALSE,"P&amp;L CIG";#N/A,#N/A,FALSE,"Cash Flow CIG";#N/A,#N/A,FALSE,"MBR CIG";#N/A,#N/A,FALSE,"Headcount - CIG";#N/A,#N/A,FALSE,"FAB UN CIG";#N/A,#N/A,FALSE,"CIG MFG";#N/A,#N/A,FALSE,"CIG Inventory";#N/A,#N/A,FALSE,"FM CIG";#N/A,#N/A,FALSE,"NSAD ASP CIG";#N/A,#N/A,FALSE,"Capital Expenditures"}</definedName>
    <definedName name="wrn.CIG._.Back._.up._.Files." hidden="1">{#N/A,#N/A,FALSE,"BACK UP CIG"}</definedName>
    <definedName name="wrn.coII._.I." hidden="1">{#N/A,#N/A,FALSE,"Fund-I"}</definedName>
    <definedName name="wrn.CoIV._.II." hidden="1">{#N/A,#N/A,FALSE,"Fund-II"}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Sys.._.Estimate.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wrn.Complete_Package." hidden="1">{#N/A,#N/A,FALSE,"Cover";#N/A,#N/A,FALSE,"Comments CSS";#N/A,#N/A,FALSE,"Comments PPG";#N/A,#N/A,FALSE,"Comments CIG";#N/A,#N/A,FALSE,"Comments IDEN";#N/A,#N/A,FALSE,"BS CSS";#N/A,#N/A,FALSE,"BS PPG";#N/A,#N/A,FALSE,"BS CIG";#N/A,#N/A,FALSE,"BS IDEN";#N/A,#N/A,FALSE,"BS TOTAL";#N/A,#N/A,FALSE,"P&amp;L CSS";#N/A,#N/A,FALSE,"P&amp;L PPG";#N/A,#N/A,FALSE,"P&amp;L CIG";#N/A,#N/A,FALSE,"P&amp;L IDEN";#N/A,#N/A,FALSE,"P&amp;L TOTAL";#N/A,#N/A,FALSE,"Cash Flow CSS";#N/A,#N/A,FALSE,"Cash Flow PPG";#N/A,#N/A,FALSE,"Cash Flow CIG";#N/A,#N/A,FALSE,"Cash Flow IDEN";#N/A,#N/A,FALSE,"Cash Flow Total";#N/A,#N/A,FALSE,"MBR CSS";#N/A,#N/A,FALSE,"MBR PPG";#N/A,#N/A,FALSE,"MBR CIG";#N/A,#N/A,FALSE,"MBR IDEN";#N/A,#N/A,FALSE,"MBR JAG PLANT";#N/A,#N/A,FALSE,"Headcount - CSS";#N/A,#N/A,FALSE,"Headcount - PPG";#N/A,#N/A,FALSE,"Headcount - CIG";#N/A,#N/A,FALSE,"Headcount - IDEN";#N/A,#N/A,FALSE,"Headcount JAG PLANT";#N/A,#N/A,FALSE,"FAB UN CSS";#N/A,#N/A,FALSE,"FAB UN PPG";#N/A,#N/A,FALSE,"FAB UN CIG";#N/A,#N/A,FALSE,"FAB UN IDEN";#N/A,#N/A,FALSE,"CSS MFG";#N/A,#N/A,FALSE,"CSS Distr ";#N/A,#N/A,FALSE,"CSS 6-Up Charts";#N/A,#N/A,FALSE,"PPG MFG";#N/A,#N/A,FALSE,"PPG 6-Up Charts ";#N/A,#N/A,FALSE,"CIG MFG";#N/A,#N/A,FALSE,"IDEN MFG";#N/A,#N/A,FALSE,"IDEN 6-Up Charts  ";#N/A,#N/A,FALSE,"CSS Inventory";#N/A,#N/A,FALSE,"PPG Inventory";#N/A,#N/A,FALSE,"CIG Inventory";#N/A,#N/A,FALSE,"IDEN Inventory";#N/A,#N/A,FALSE,"CE JAG Inventory";#N/A,#N/A,FALSE,"FM CSS";#N/A,#N/A,FALSE,"NSAD ASP CSS";#N/A,#N/A,FALSE,"FM CIG";#N/A,#N/A,FALSE,"NSAD ASP CIG";#N/A,#N/A,FALSE,"FM iDEN";#N/A,#N/A,FALSE,"NSAD IDEN";#N/A,#N/A,FALSE,"Capital Expenditures";#N/A,#N/A,FALSE,"R&amp;D  Report"}</definedName>
    <definedName name="wrn.con." hidden="1">{#N/A,#N/A,FALSE,"B05ai.CON";#N/A,#N/A,FALSE,"B05aii.CON";#N/A,#N/A,FALSE,"B05aiii.CON";#N/A,#N/A,FALSE,"B07a.CON";#N/A,#N/A,FALSE,"B11a.CON";#N/A,#N/A,FALSE,"B04a.CON";#N/A,#N/A,FALSE,"B03a.CON";#N/A,#N/A,FALSE,"B02a.CON"}</definedName>
    <definedName name="wrn.Conselho._.Fiscal._.10." hidden="1">{"CAPA CONSELHO FISCAL",#N/A,TRUE,"capa (2)";"CAPITAL 2001",#N/A,TRUE,"capital (2)";"INDICES2001 (2)",#N/A,TRUE,"índices bal (2)";"BAL(B)2001",#N/A,TRUE,"BAL B (2)";"RESULTADO 10",#N/A,TRUE,"resultado";"MUTAÇÃO(B)2001",#N/A,TRUE,"mutação B (2)";"DOAR(B)2001",#N/A,TRUE,"DOAR B (2)";"ESTOQUE(B)2001",#N/A,TRUE,"estoque";"PERMANENTE(B)2001",#N/A,TRUE,"permanente B (2)";"PERFIL(B)2001",#N/A,TRUE,"PERFIL B (2)";"EBITDA 10",#N/A,TRUE,"ebitda";"FLUXO(B)2001",#N/A,TRUE,"FLUXO B (2)";"PROVISÕES2001",#N/A,TRUE,"prov-contas a receber";"CAPA CONTROLADORA",#N/A,TRUE,"capa (2)";"BAL(A)2001",#N/A,TRUE,"BAL A (2)";"MUTAÇÃO(A)2001",#N/A,TRUE,"mutação A (2)";"DOAR(A)2001",#N/A,TRUE,"DOAR A (2)";"ESTOQUE(A)2001",#N/A,TRUE,"estoque";"PERMANENTE(A)2001",#N/A,TRUE,"permanente A (2)"}</definedName>
    <definedName name="wrn.conselho04." hidden="1">{"CAPA CONSELHO(FISCAL)ACIONISTAS",#N/A,TRUE,"capa (2)";"CAPITAL 2003",#N/A,TRUE,"capital (2)";"INDICES2003",#N/A,TRUE,"índices bal (2)";"BAL(B)2003",#N/A,TRUE,"BAL B (2)";"RESULTADO 04",#N/A,TRUE,"resultado";"EBTIDA 04",#N/A,TRUE,"ebitda";"RESULTADO mes a mes (B)2003",#N/A,TRUE,"mês a mês (2)";"DOAR(B)2003",#N/A,TRUE,"DOAR B (2)";"MUTAÇÃO(B)2003",#N/A,TRUE,"mutação B (2)";"ESTOQUE(B)2003",#N/A,TRUE,"estoque";"PERMANENTE(B)2003",#N/A,TRUE,"permanente B (2)";"PERFIL(B)2003",#N/A,TRUE,"PERFIL B (2)";"FLUXO(B)2003",#N/A,TRUE,"FLUXO B (2)";"PROVISÕES2003",#N/A,TRUE,"prov-contas a receber";"CAPA CONTROLADORA",#N/A,TRUE,"capa (2)";"BAL(A)2003",#N/A,TRUE,"BAL A (2)";"RESULTADO mes a mes (A)2003",#N/A,TRUE,"mês a mês (2)";"MUTAÇÃO(A)2003",#N/A,TRUE,"mutação A (2)";"DOAR(A)2003",#N/A,TRUE,"DOAR A (2)";"ESTOQUE(A)2003",#N/A,TRUE,"estoque";"PERMANENTE(A)2003",#N/A,TRUE,"permanente A (2)"}</definedName>
    <definedName name="wrn.Conselho05." hidden="1">{"CAPA CONSELHO(FISCAL)ACIONISTAS",#N/A,TRUE,"capa (2)";"CAPITAL 2003",#N/A,TRUE,"capital (2)";"INDICES2003",#N/A,TRUE,"índices bal (2)";"BAL(B)2003",#N/A,TRUE,"BAL B (2)";"RESULTADO 05",#N/A,TRUE,"resultado";"EBTIDA 05",#N/A,TRUE,"ebitda";"RESULTADO mes a mes (B)2003",#N/A,TRUE,"mês a mês (2)";"DOAR(B)2003",#N/A,TRUE,"DOAR B (2)";"MUTAÇÃO(B)2003",#N/A,TRUE,"mutação B (2)";"ESTOQUE(B)2003",#N/A,TRUE,"estoque";"PERMANENTE(B)2003",#N/A,TRUE,"permanente B (2)";"PERFIL(B)2003",#N/A,TRUE,"PERFIL B (2)";"FLUXO(B)2003",#N/A,TRUE,"FLUXO B (2)";"PROVISÕES2003",#N/A,TRUE,"prov-contas a receber";"CAPA CONTROLADORA",#N/A,TRUE,"capa (2)";"BAL(A)2003",#N/A,TRUE,"BAL A (2)";"RESULTADO mes a mes (A)2003",#N/A,TRUE,"mês a mês (2)";"MUTAÇÃO(A)2003",#N/A,TRUE,"mutação A (2)";"DOAR(A)2003",#N/A,TRUE,"DOAR A (2)";"ESTOQUE(A)2003",#N/A,TRUE,"estoque";"PERMANENTE(A)2003",#N/A,TRUE,"permanente A (2)"}</definedName>
    <definedName name="wrn.CONSELHOFISCAL._.11." hidden="1">{"CAPA CONSELHO FISCAL",#N/A,TRUE,"capa (2)";"CAPITAL 2003",#N/A,TRUE,"capital (2)";"INDICES2003",#N/A,TRUE,"índices bal (2)";"BAL(B)2003",#N/A,TRUE,"BAL B (2)";"RESULTADO 11",#N/A,TRUE,"resultado";"EBTIDA 11",#N/A,TRUE,"ebitda";"RESULTADO mes a mes (B)2003",#N/A,TRUE,"mês a mês (2)";"DOAR(B)2003",#N/A,TRUE,"DOAR B (2)";"MUTAÇÃO(B)2003",#N/A,TRUE,"mutação B (2)";"ESTOQUE(B)2003",#N/A,TRUE,"estoque";"PERMANENTE(B)2003",#N/A,TRUE,"permanente B (2)";"PERFIL(B)2003",#N/A,TRUE,"PERFIL B (2)";"FLUXO(B)2003",#N/A,TRUE,"FLUXO B (2)";"PROVISÕES2003",#N/A,TRUE,"prov-contas a receber";"CAPA CONTROLADORA",#N/A,TRUE,"capa (2)";"BAL(A)2003",#N/A,TRUE,"BAL A (2)";"RESULTADO mes a mes (A)2003",#N/A,TRUE,"mês a mês (2)";"MUTAÇÃO(A)2003",#N/A,TRUE,"mutação A (2)";"DOAR(A)2003",#N/A,TRUE,"DOAR A (2)";"ESTOQUE(A)2003",#N/A,TRUE,"estoque";"PERMANENTE(A)2003",#N/A,TRUE,"permanente A (2)"}</definedName>
    <definedName name="wrn.corp." hidden="1">{"corp",#N/A,FALSE,"Endpap"}</definedName>
    <definedName name="wrn.DEHAN._.MONEY." hidden="1">{"BG",#N/A,FALSE,"SABANAS";"ERACUM",#N/A,FALSE,"SABANAS";"ERMES",#N/A,FALSE,"SABANAS";"BG",#N/A,FALSE,"RESUMEN";"ERACU",#N/A,FALSE,"RESUMEN";"ERMES",#N/A,FALSE,"RESUMEN"}</definedName>
    <definedName name="wrn.DEHAN._.MONEY2." hidden="1">{"BG",#N/A,FALSE,"SABANAS";"ERACUM",#N/A,FALSE,"SABANAS";"ERMES",#N/A,FALSE,"SABANAS";"BG",#N/A,FALSE,"RESUMEN";"ERACU",#N/A,FALSE,"RESUMEN";"ERMES",#N/A,FALSE,"RESUMEN"}</definedName>
    <definedName name="wrn.Deposit._.By._.Day." hidden="1">{#N/A,#N/A,FALSE,"Deposits by day"}</definedName>
    <definedName name="wrn.Deptartment._.Expenses." hidden="1">{#N/A,#N/A,TRUE,"CPRD";#N/A,#N/A,TRUE,"BCCPDR";#N/A,#N/A,TRUE,"EWRD";#N/A,#N/A,TRUE,"5100";#N/A,#N/A,TRUE,"5110"}</definedName>
    <definedName name="wrn.Desp._.financeiras." hidden="1">{"FINANCEIRAS",#N/A,FALSE,"BALmar96"}</definedName>
    <definedName name="wrn.ENDPAP." hidden="1">{"contab",#N/A,FALSE,"Endpap";"total",#N/A,FALSE,"Endpap";"corp",#N/A,FALSE,"Endpap";"rankbcos",#N/A,FALSE,"Rankbcos"}</definedName>
    <definedName name="wrn.EP._.Segment._.Only." hidden="1">{#N/A,#N/A,FALSE,"EP";#N/A,#N/A,FALSE,"CCO";#N/A,#N/A,FALSE,"CRH";#N/A,#N/A,FALSE,"BUS";#N/A,#N/A,FALSE,"LGT";#N/A,#N/A,FALSE,"CWD";#N/A,#N/A,FALSE,"CBL";#N/A,#N/A,FALSE,"CPS";#N/A,#N/A,FALSE,"MEN"}</definedName>
    <definedName name="wrn.ERNST." hidden="1">{#N/A,#N/A,FALSE,"YTCHAN";#N/A,#N/A,FALSE,"TOMMY";#N/A,#N/A,FALSE,"REP.OFFICE";#N/A,#N/A,FALSE,"E&amp;Y_CONSULTANT";#N/A,#N/A,FALSE,"BT &amp; CIT"}</definedName>
    <definedName name="wrn.Especial." hidden="1">{"BalanceAnual",#N/A,FALSE,"Balance Anual";"ER_Mensual",#N/A,FALSE,"Edo Res. Mens";"ER_Anual",#N/A,FALSE,"Edo Res. Anual";"Flujo_Mensual",#N/A,FALSE,"Flujo Mens";"Flujo_Anual",#N/A,FALSE,"Flujo Anual";"CtoVtas",#N/A,FALSE,"Otros Datos";"GtsAdmonyVtas",#N/A,FALSE,"Otros Datos";"GtsDistr",#N/A,FALSE,"Otros Datos";"VentasyCostos",#N/A,FALSE,"Otros Datos";"Indices",#N/A,FALSE,"Otros Datos"}</definedName>
    <definedName name="wrn.ExitAndSalesAssumptions." hidden="1">{#N/A,#N/A,FALSE,"ExitStratigy"}</definedName>
    <definedName name="wrn.Exp." hidden="1">{#N/A,#N/A,FALSE,"Exp_Summary";#N/A,#N/A,FALSE,"Exp_BJ";#N/A,#N/A,FALSE,"Exp_SH";#N/A,#N/A,FALSE,"Exp_GZ"}</definedName>
    <definedName name="wrn.F.S.." hidden="1">{#N/A,#N/A,TRUE,"COVER";#N/A,#N/A,TRUE,"DIR";#N/A,#N/A,TRUE,"AUDIT"}</definedName>
    <definedName name="wrn.f.s.2" hidden="1">{#N/A,#N/A,TRUE,"COVER";#N/A,#N/A,TRUE,"DIR";#N/A,#N/A,TRUE,"AUDIT"}</definedName>
    <definedName name="wrn.Facility._.Estimate." hidden="1">{#N/A,#N/A,TRUE,"Cover Memo";"Facility Estimate",#N/A,TRUE,"Change Summary";"Facility Estimate",#N/A,TRUE,"Estimate Summary";"Facility Estimate",#N/A,TRUE,"Dept. Summary";"Facility Estimate",#N/A,TRUE,"DOW Detail"}</definedName>
    <definedName name="wrn.Financeiras._.Totais." hidden="1">{"Financ.total",#N/A,FALSE,"BALJAN97"}</definedName>
    <definedName name="wrn.form." hidden="1">{#N/A,#N/A,FALSE,"OffAdvance";#N/A,#N/A,FALSE,"OffExpRprt";#N/A,#N/A,FALSE,"Entertmnt";#N/A,#N/A,FALSE,"Promotion";#N/A,#N/A,FALSE,"Travelling"}</definedName>
    <definedName name="wrn.Full._.Set." hidden="1">{#N/A,#N/A,FALSE,"CBE";#N/A,#N/A,FALSE,"EP";#N/A,#N/A,FALSE,"CCO";#N/A,#N/A,FALSE,"THH";#N/A,#N/A,FALSE,"MFG Costs-QTD";#N/A,#N/A,FALSE,"MFG Costs-YTD";#N/A,#N/A,FALSE,"CRH";#N/A,#N/A,FALSE,"BUS";#N/A,#N/A,FALSE,"LGT";#N/A,#N/A,FALSE,"CWD";#N/A,#N/A,FALSE,"CBL";#N/A,#N/A,FALSE,"CPS";#N/A,#N/A,FALSE,"MEN";#N/A,#N/A,FALSE,"CPT";#N/A,#N/A,FALSE,"HTD"}</definedName>
    <definedName name="wrn.fullreport." hidden="1">{#N/A,#N/A,FALSE,"530&amp;120Consol";#N/A,#N/A,FALSE,"530aplan";#N/A,#N/A,FALSE,"120aplan";#N/A,#N/A,FALSE,"mgmt report";#N/A,#N/A,FALSE,"variance";#N/A,#N/A,FALSE,"SENSITIVE 9899";#N/A,#N/A,FALSE,"Letup 530";#N/A,#N/A,FALSE,"LETUP 120";#N/A,#N/A,FALSE,"Rent Review";#N/A,#N/A,FALSE,"Option";#N/A,#N/A,FALSE,"530 capex summ";#N/A,#N/A,FALSE,"120 capex summ";#N/A,#N/A,FALSE,"mtlhy cashflow";#N/A,#N/A,FALSE,"530 Collins E&amp;D";#N/A,#N/A,FALSE,"120 King E&amp;D";#N/A,#N/A,FALSE,"House View  530std  "}</definedName>
    <definedName name="wrn.gb." hidden="1">{#N/A,#N/A,FALSE,"资产负债表";#N/A,#N/A,FALSE,"资产负债表"}</definedName>
    <definedName name="wrn.GER." hidden="1">{"capa A",#N/A,TRUE,"capa (2)";"indices",#N/A,TRUE,"índices bal (2)";"organo1",#N/A,TRUE,"organo";"bal A",#N/A,TRUE,"bal A";"RES 06",#N/A,TRUE,"resultado A";"BAL ANAL A",#N/A,TRUE,"B.analítico B (2)";"resultado 05 analítico",#N/A,TRUE,"mês a mês";"EBITDA06A",#N/A,TRUE,"ebitda A";"perfil a1",#N/A,TRUE,"perfil A";"despesas A",#N/A,TRUE,"despesa A";"análise LB6",#N/A,TRUE,"análise";"PERMANENTE",#N/A,TRUE,"permanente A";"MUTAÇÃO",#N/A,TRUE,"mutação A (2)";"prod6",#N/A,TRUE,"produção";"VOLUME A1",#N/A,TRUE,"volume A";"VOLUME A3",#N/A,TRUE,"volume A3";"VOLUME A2",#N/A,TRUE,"volume A2";"rec3",#N/A,TRUE,"receita A2";"MIX06A",#N/A,TRUE,"mix A";"LB2002 R$",#N/A,TRUE,"lb2002-R$";"LB2002 U$",#N/A,TRUE,"lb2002-U$";"LB2001 R$",#N/A,TRUE,"lb2001-R$";"LB2001 U$",#N/A,TRUE,"lb2001-U$"}</definedName>
    <definedName name="wrn.GER._.MINI." hidden="1">{"capa A",#N/A,TRUE,"capa (2)";"bal A",#N/A,TRUE,"bal A";"RES 06",#N/A,TRUE,"resultado A";"BAL ANAL A",#N/A,TRUE,"B.analítico B (2)";"resultado 06 analítico",#N/A,TRUE,"mês a mês";"EBITDA06A",#N/A,TRUE,"ebitda A";"análise LB6",#N/A,TRUE,"análise";"perfil a1",#N/A,TRUE,"perfil A";"despesas A",#N/A,TRUE,"despesa A";"PERMANENTE",#N/A,TRUE,"permanente A";"MUTAÇÃO",#N/A,TRUE,"mutação A (2)";"prod6",#N/A,TRUE,"produção";"VOLUME A1",#N/A,TRUE,"volume A";"VOLUME A3",#N/A,TRUE,"volume A3";"VOLA2",#N/A,TRUE,"volume A2";"rec3",#N/A,TRUE,"receita A2";"capa B",#N/A,TRUE,"capa (3)";"BAL B",#N/A,TRUE,"bal B";"RES B 06",#N/A,TRUE,"resultado B";"EBITDA B 06",#N/A,TRUE,"ebitda B"}</definedName>
    <definedName name="wrn.Geral." hidden="1">{#N/A,#N/A,FALSE,"Relatórios";"Vendas e Custos",#N/A,FALSE,"Vendas e Custos";"Premissas",#N/A,FALSE,"Premissas";"Projeções",#N/A,FALSE,"Projeções";"Dolar",#N/A,FALSE,"Dolar";"Original",#N/A,FALSE,"Original e UFIR"}</definedName>
    <definedName name="wrn.GERENCIAL._.01." hidden="1">{"CAPA GERENCIAL&amp;DIRETORIA",#N/A,TRUE,"capa (2)";"CAPITAL 2002",#N/A,TRUE,"capital (2)";"INDICES2002",#N/A,TRUE,"índices bal (2)";"BAL(B)2002",#N/A,TRUE,"BAL B (2)";"BANAL(B)2002",#N/A,TRUE,"B.analítico B (2)";"RESULTADO 01",#N/A,TRUE,"resultado";"RESULTADO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01",#N/A,TRUE,"produção";"ESTOQUEPA 01",#N/A,TRUE,"estoque pa";"VOLUME 01",#N/A,TRUE,"volume";"MIX 01",#N/A,TRUE,"mix";"ESTOQUE PA(2)2002",#N/A,TRUE,"estoque pa (2)";"PREÇOS 01",#N/A,TRUE,"preços";"ANALISE 01",#N/A,TRUE,"análise";"LB2002",#N/A,TRUE,"lb2002";"DESPESAS2002",#N/A,TRUE,"Desp2002";"FINANCEIRAS 01",#N/A,TRUE,"financeiras";"EBITDA 01",#N/A,TRUE,"ebitda";"FLUXO(B)2002",#N/A,TRUE,"FLUXO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2." hidden="1">{"CAPA GERENCIAL&amp;DIRETORIA",#N/A,TRUE,"capa (2)";"CAPITAL 2002",#N/A,TRUE,"capital (2)";"INDICES2002",#N/A,TRUE,"índices bal (2)";"BAL(B)2002",#N/A,TRUE,"BAL B (2)";"BANAL(B)2002",#N/A,TRUE,"B.analítico B (2)";"RESULTADO 02",#N/A,TRUE,"resultado";"RESULTADO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02",#N/A,TRUE,"produção";"ESTOQUEPA 02",#N/A,TRUE,"estoque pa";"VOLUME 02",#N/A,TRUE,"volume";"MIX 02",#N/A,TRUE,"mix";"ESTOQUE PA(2)2002",#N/A,TRUE,"estoque pa (2)";"PREÇOS 02",#N/A,TRUE,"preços";"ANALISE 02",#N/A,TRUE,"análise";"LB2002",#N/A,TRUE,"lb2002";"DESPESAS2002",#N/A,TRUE,"Desp2002";"FINANCEIRAS 02",#N/A,TRUE,"financeiras";"EBITDA 02",#N/A,TRUE,"ebitda";"FLUXO(B)2002",#N/A,TRUE,"FLUXO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3." hidden="1">{"CAPAGERENCIAL&amp;DIRETORIA",#N/A,TRUE,"capa (2)";"CAPITAL 2002",#N/A,TRUE,"capital (2)";"INDICES2002",#N/A,TRUE,"índices bal (2)";"BAL(B)2002",#N/A,TRUE,"BAL B (2)";"BANAL(B)2002",#N/A,TRUE,"B.analítico B (2)";"RESULTADO 03",#N/A,TRUE,"resultado";"RESULTADO mes a mes (B)2002",#N/A,TRUE,"resultado";"ESTOQUE(B)2002",#N/A,TRUE,"mutação B (2)";"DOAR(B)2002",#N/A,TRUE,"DOAR B (2)";"ESTOQUE(B)2002",#N/A,TRUE,"estoque";"ESTOQUEANALITICO(B)2002",#N/A,TRUE,"estoque";"PERMANENTE(B)2002",#N/A,TRUE,"permanente B (2)";"PERFIL(B)2002",#N/A,TRUE,"PERFIL B (2)";"PROVISÕES2002",#N/A,TRUE,"prov-contas a receber";"CAPA ANÁLISE",#N/A,TRUE,"capa (2)";"PRODUÇÃO 03",#N/A,TRUE,"produção";"ESTOQUEPA 03",#N/A,TRUE,"estoque pa";"VOLUME 03",#N/A,TRUE,"volume";"MIX 03",#N/A,TRUE,"mix";"ESTOQUE PA(2)2002",#N/A,TRUE,"estoque pa (2)";"PREÇOS 03",#N/A,TRUE,"preços";"ANALISE 03",#N/A,TRUE,"análise";"LB2002",#N/A,TRUE,"lb2002";"DESPESAS2002",#N/A,TRUE,"Desp2001-02";"FINANCEIRAS 03",#N/A,TRUE,"financeiras";"EBITDA 03",#N/A,TRUE,"ebitda";"FLUXO(B)2002",#N/A,TRUE,"FLUXO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4." hidden="1">{"CAPAGERENCIAL&amp;DIRETORIA",#N/A,TRUE,"capa (2)";"CAPITAL 2002",#N/A,TRUE,"capital (2)";"INDICES2002",#N/A,TRUE,"índices bal (2)";"BAL(B)2002",#N/A,TRUE,"BAL B (2)";"BANAL(B)2002",#N/A,TRUE,"B.analítico B (2)";"RESULTADO 04",#N/A,TRUE,"resultado";"RESULTADO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04",#N/A,TRUE,"produção";"ESTOQUEPA 04",#N/A,TRUE,"estoque";"VOLUME 04",#N/A,TRUE,"volume";"MIX 04",#N/A,TRUE,"mix";"ESTOQUE PA(2)2002",#N/A,TRUE,"estoque pa (2)";"PREÇOS 04",#N/A,TRUE,"preços";"ANALISE 04",#N/A,TRUE,"análise";"LB2002",#N/A,TRUE,"lb2002";"DESPESAS2002",#N/A,TRUE,"Desp2001-02";"FINACEIRAS 04",#N/A,TRUE,"financeiras";"EBITDA 04",#N/A,TRUE,"ebitda";"FLUXO(B)2002",#N/A,TRUE,"FLUXO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5." hidden="1">{"CAPAGERENCIAL&amp;DIRETORIA",#N/A,TRUE,"capa (2)";"CAPITAL 2002",#N/A,TRUE,"capital (2)";"INDICES2002",#N/A,TRUE,"índices bal (2)";"BAL(B)2002",#N/A,TRUE,"BAL B (2)";"BANAL(B)2002",#N/A,TRUE,"B.analítico B (2)";"RESULTADO 05",#N/A,TRUE,"resultado";"RESULTADO mes a mes (B)2002",#N/A,TRUE,"resultado";"MUTAÇÃO(B)2002",#N/A,TRUE,"mutação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05",#N/A,TRUE,"produção";"ESTOQUEPA 05",#N/A,TRUE,"estoque";"VOLUME 05",#N/A,TRUE,"volume";"MIX 05",#N/A,TRUE,"mix";"ESTOQUE PA(2)2002",#N/A,TRUE,"estoque pa (2)";"PREÇOS 05",#N/A,TRUE,"preços";"ANALISE 05",#N/A,TRUE,"análise";"LB2002",#N/A,TRUE,"lb2002";"DESPESAS2002",#N/A,TRUE,"Desp2001-02";"FINANCEIRAS 05",#N/A,TRUE,"financeiras";"EBITDA 05",#N/A,TRUE,"ebitda";"FLUXO(B)2002",#N/A,TRUE,"FLUXO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(2)";"RESULTADO(AMER)2002",#N/A,TRUE,"resultado";"BAL(TRAD)2002",#N/A,TRUE,"B.Trading (2)";"RESULTADO(TRAD)2002",#N/A,TRUE,"resultado"}</definedName>
    <definedName name="wrn.GERENCIAL._.06." hidden="1">{"CAPAGERENCIAL&amp;DIRETORIA",#N/A,TRUE,"capa (2)";"CAPITAL 2002",#N/A,TRUE,"capital (2)";"INDICES2002",#N/A,TRUE,"índices bal (2)";"BAL(B)2002",#N/A,TRUE,"BAL B (2)";"BANAL(B)2002",#N/A,TRUE,"B.analítico B (2)";"RESULTADO 06",#N/A,TRUE,"resultado";"RESULTADO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06",#N/A,TRUE,"produção";"ESTOQUEPA 06",#N/A,TRUE,"estoque pa";"VOLUME 06",#N/A,TRUE,"volume";"MIX 06",#N/A,TRUE,"mix";"ESTOQUE PA(2)2002",#N/A,TRUE,"estoque pa (2)";"PREÇOS 06",#N/A,TRUE,"preços";"ANALISE 06",#N/A,TRUE,"análise";"LB2002",#N/A,TRUE,"lb2002";"DESPESAS2002",#N/A,TRUE,"Desp2001-02";"FINANCEIRAS 06",#N/A,TRUE,"financeiras";"EBITDA 06",#N/A,TRUE,"ebitda";"FLUXO(B)2002",#N/A,TRUE,"FLUXO B (2)";"DIVIDA2002",#N/A,TRUE,"dívida";"CAPA CONTROLADORA",#N/A,TRUE,"capa (2)";"BAL(A)2002",#N/A,TRUE,"BAL A (2)";"RESULTADO mes a mes (A)2002",#N/A,TRUE,"resultado";"MUTAÇÃO(A)2002",#N/A,TRUE,"mutação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7." hidden="1">{"CAPAGERENCIAL&amp;DIRETORIA",#N/A,TRUE,"capa (2)";"CAPITAL 2002",#N/A,TRUE,"capital (2)";"INDICES2002",#N/A,TRUE,"índices bal (2)";"BAL(B)2002",#N/A,TRUE,"BAL B (2)";"BANAL(B)2002",#N/A,TRUE,"B.analítico B (2)";"RESULTADO 07",#N/A,TRUE,"resultado";"RESULTADO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07",#N/A,TRUE,"produção";"ESTOQUEPA 07",#N/A,TRUE,"estoque pa";"VOLUME 07",#N/A,TRUE,"volume";"MIX 07",#N/A,TRUE,"mix";"ESTOQUE PA(2)2002",#N/A,TRUE,"estoque pa (2)";"PREÇOS 07",#N/A,TRUE,"preços";"ANALISE 07",#N/A,TRUE,"análise";"LB2002",#N/A,TRUE,"lb2002";"DESPESAS2002",#N/A,TRUE,"Desp2001-02";"FINANCEIRAS 07",#N/A,TRUE,"financeiras";"EBITDA 07",#N/A,TRUE,"ebitda";"FLUXO(B)2002",#N/A,TRUE,"FLUXO B (2)";"DIVIDA2002",#N/A,TRUE,"dívida";"CAPA CONTROLADORA",#N/A,TRUE,"capa (2)";"BAL(A)2002",#N/A,TRUE,"BAL A (2)";"RESULTADO mes a mes (A)2002",#N/A,TRUE,"mês a mês (2)";"MUTAÇÃO(A)2002",#N/A,TRUE,"mutação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8." hidden="1">{"CAPAGERENCIAL&amp;DIRETORIA",#N/A,TRUE,"capa (2)";"CAPITAL 2002",#N/A,TRUE,"capital (2)";"INDICES2002",#N/A,TRUE,"índices bal (2)";"BAL(B)2002",#N/A,TRUE,"BAL B (2)";"BANAL(B)2002",#N/A,TRUE,"B.analítico B (2)";"RESULTADO 08",#N/A,TRUE,"resultado";"RESULTADO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08",#N/A,TRUE,"produção";"ESTOQUEPA 08",#N/A,TRUE,"estoque pa";"VOLUME 08",#N/A,TRUE,"volume";"MIX 08",#N/A,TRUE,"mix";"ESTOQUE PA(2)2002",#N/A,TRUE,"estoque pa (2)";"PREÇOS 08",#N/A,TRUE,"preços";"ANALISE 08",#N/A,TRUE,"análise";"LB2002",#N/A,TRUE,"lb2002";"DESPESAS2002",#N/A,TRUE,"Desp2001-02";"FINANCEIRAS 08",#N/A,TRUE,"financeiras";"EBITDA 08",#N/A,TRUE,"ebitda";"FLUXO(B)2002",#N/A,TRUE,"FLUXO B (2)";"DIVIDA2002",#N/A,TRUE,"dívida";"CAPA CONTROLADORA",#N/A,TRUE,"capa (2)";"BAL(A)2002",#N/A,TRUE,"BAL A (2)";"RESULTADO mes a mes (A)2002",#N/A,TRUE,"mês a mês (2)";"MUTAÇÃO(A)2002",#N/A,TRUE,"mutação A (2)";"DOAR(A)2002",#N/A,TRUE,"DOAR A (2)";"FLUXO(A)2002",#N/A,TRUE,"FLUXO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09." hidden="1">{"CAPAGERENCIAL&amp;DIRETORIA",#N/A,TRUE,"capa (2)";"CAPITAL 2002",#N/A,TRUE,"capital (2)";"INDICES2002",#N/A,TRUE,"índices bal (2)";"BAL(B)2002",#N/A,TRUE,"BAL B (2)";"BANAL(B)2002",#N/A,TRUE,"B.analítico B (2)";"RESULTADO 09",#N/A,TRUE,"resultado";"RESULTADO mes a mes (B)2002",#N/A,TRUE,"mês a mês (2)";"MUTAÇÃO(B)2002",#N/A,TRUE,"mutação B (2)";"DOAR(B)2002",#N/A,TRUE,"DOAR B (2)";"ESTOQUE(B)2002",#N/A,TRUE,"estoque";"ESTOQUEANALITICO(B)2002",#N/A,TRUE,"est.analítico";"PERMANENTE(B)2002",#N/A,TRUE,"permanente B (2)";"PERFIL(B)2002",#N/A,TRUE,"PERFIL B (2)";"PROVISÕES2002",#N/A,TRUE,"prov-contas a receber";"CAPA ANÁLISE",#N/A,TRUE,"capa (2)";"PRODUÇÃO 09",#N/A,TRUE,"produção";"ESTOQUEPA 09",#N/A,TRUE,"estoque pa";"VOLUME 09",#N/A,TRUE,"volume";"MIX 09",#N/A,TRUE,"mix";"ESTOQUE PA(2)2002",#N/A,TRUE,"estoque pa (2)";"PREÇOS 09",#N/A,TRUE,"preços";"ANALISE 09",#N/A,TRUE,"análise";"DESPESAS2002",#N/A,TRUE,"Desp2001-02";"FINANCEIRAS 09",#N/A,TRUE,"financeiras";"EBTIDA 09",#N/A,TRUE,"ebitda";"FLUXO(B)2002",#N/A,TRUE,"FLUXO B (2)";"DIVIDA2002",#N/A,TRUE,"dívida";"CAPA CONTROLADORA",#N/A,TRUE,"capa (2)";"BAL(A)2002",#N/A,TRUE,"BAL A (2)";"RESULTADO mes a mes (A)2002",#N/A,TRUE,"mês a mês (2)";"MUTAÇÃO(A)2002",#N/A,TRUE,"mutação A (2)";"DOAR(A)2002",#N/A,TRUE,"DOAR A (2)";"LB2002",#N/A,TRUE,"lb2002";"FLUXO(A)2002",#N/A,TRUE,"FLUXO A";"ESTOQUE(A)2002",#N/A,TRUE,"estoque";"PERMANENTE(A)2002",#N/A,TRUE,"permanente A (2)";"PERFIL(A)2002",#N/A,TRUE,"PERFIL A (2)";"EQUIVALÊNCIA2002",#N/A,TRUE,"equyt";"CAPA CONTROLADAS",#N/A,TRUE,"capa (2)";"BAL(AMER)2002",#N/A,TRUE,"B.America (2)";"RESULTADO(AMER)2002",#N/A,TRUE,"mês a mês (2)";"BAL(TRAD)2002",#N/A,TRUE,"B.Trading (2)";"RESULTADO(TRAD)2002",#N/A,TRUE,"mês a mês (2)"}</definedName>
    <definedName name="wrn.Gerencial._.10." hidden="1">{"capA",#N/A,TRUE,"capa (2)";"capital",#N/A,TRUE,"capital (2)";"indices1",#N/A,TRUE,"índices";"balA#",#N/A,TRUE,"bal A";"resA#11",#N/A,TRUE,"resultado A";"ebitdaA#11",#N/A,TRUE,"ebitda A";"perfA#",#N/A,TRUE,"perfil A";"doarA##",#N/A,TRUE,"DOAR A";"fluxoA##",#N/A,TRUE,"FLUXO A";"permA",#N/A,TRUE,"permanente A";"mutA",#N/A,TRUE,"mutação A";"notasA",#N/A,TRUE,"notas";"analA11",#N/A,TRUE,"análise";"despA#",#N/A,TRUE,"despesa A";"finA#11",#N/A,TRUE,"financeiras";"balanalA",#N/A,TRUE,"B.analítico A";"mesA11",#N/A,TRUE,"mês a mês";"prodA11",#N/A,TRUE,"produção";"mixA11",#N/A,TRUE,"mix A";"volA211",#N/A,TRUE,"volume A2";"volA311",#N/A,TRUE,"volume A3";"volA2",#N/A,TRUE,"volume A2";"recA11",#N/A,TRUE,"receita A2";"lb2002#",#N/A,TRUE,"lb2002-R$"}</definedName>
    <definedName name="wrn.GERENCIAL._.11." hidden="1">{"CAPAGERENCIAL&amp;DIRETORIA",#N/A,TRUE,"capa (2)";"CAPITAL 2003",#N/A,TRUE,"capital (2)";"INDICES2003",#N/A,TRUE,"índices bal (2)";"BAL(B)2003",#N/A,TRUE,"BAL B (2)";"RESULTADO 11",#N/A,TRUE,"resultado";"EBTIDA 11",#N/A,TRUE,"ebitda";"PERFIL(B)2003",#N/A,TRUE,"PERFIL B (2)";"DOAR(B)2003",#N/A,TRUE,"DOAR B (2)";"FLUXO(B)2003",#N/A,TRUE,"FLUXO B (2)";"ESTOQUE(B)2003",#N/A,TRUE,"estoque";"PERMANENTE(B)2003",#N/A,TRUE,"permanente B (2)";"DESPESAS2003",#N/A,TRUE,"Desp2003-02";"MUTAÇÃO(B)2003",#N/A,TRUE,"mutação B (2)";"FINANCEIRAS(B)2003",#N/A,TRUE,"financeiras (B)";"BANAL(B)2003",#N/A,TRUE,"B.analítico B (2)";"RESULTADO mes a mes (B)2003",#N/A,TRUE,"mês a mês (2)";"ESTOQUEANALITICO(B)2003",#N/A,TRUE,"est.analítico";"PROVISÕES2003",#N/A,TRUE,"prov-contas a receber";"CAPA ANÁLISE",#N/A,TRUE,"capa (2)";"ESTOQUEPA 11",#N/A,TRUE,"estoque pa";"VOLUME 11",#N/A,TRUE,"volume";"MIX 11",#N/A,TRUE,"mix";"LBRUTO2003(1)",#N/A,TRUE,"lb2003";"LBRUTO2003(2)",#N/A,TRUE,"lb2003";"LBRUTO2003(3)",#N/A,TRUE,"lb2003";"ANALISE11",#N/A,TRUE,"análise";"CAPA CONTROLADORA",#N/A,TRUE,"capa (2)";"BAL(A)2003",#N/A,TRUE,"BAL A (2)";"RESULTADO mes a mes (A)2003",#N/A,TRUE,"mês a mês (2)";"MUTAÇÃO(A)2003",#N/A,TRUE,"mutação A (2)";"FINANCEIRAS(A)2003",#N/A,TRUE,"financeiras (A)";"DOAR(A)2003",#N/A,TRUE,"DOAR A (2)";"FLUXO(A)2003",#N/A,TRUE,"FLUXO A";"ESTOQUE(A)2003",#N/A,TRUE,"estoque";"PERMANENTE(A)2003",#N/A,TRUE,"permanente A (2)";"PERFIL(A)2003",#N/A,TRUE,"PERFIL A (2)";"EQUIVALÊNCIA2003",#N/A,TRUE,"equyt";"CAPA CONTROLADAS",#N/A,TRUE,"capa (2)";"BAL(AMER)2003",#N/A,TRUE,"B.America (2)";"RESULTADO(AMER)2003",#N/A,TRUE,"mês a mês (2)";"BAL(TRAD)2003",#N/A,TRUE,"B.Trading (2)";"RESULTADO(TRAD)2003",#N/A,TRUE,"mês a mês (2)"}</definedName>
    <definedName name="wrn.GERENCIAL._.12." hidden="1">{"CAPAGERENCIAL&amp;DIRETORIA",#N/A,TRUE,"capa (2)";"CAPITAL 2003",#N/A,TRUE,"capital (2)";"INDICES2003",#N/A,TRUE,"índices bal (2)";"BAL(B)2003",#N/A,TRUE,"BAL B (2)";"RESULTADO 12",#N/A,TRUE,"resultado";"EBTIDA 12",#N/A,TRUE,"ebitda";"PERFIL(B)2003",#N/A,TRUE,"PERFIL B (2)";"DOAR(B)2003",#N/A,TRUE,"DOAR B (2)";"FLUXO(B)2003",#N/A,TRUE,"FLUXO B (2)";"ESTOQUE(B)2003",#N/A,TRUE,"estoque";"PERMANENTE(B)2003",#N/A,TRUE,"permanente B (2)";"DESPESAS2003",#N/A,TRUE,"Desp2003-02";"MUTAÇÃO(B)2003",#N/A,TRUE,"mutação B (2)";"FINANCEIRAS(B)2003",#N/A,TRUE,"financeiras (B)";"BANAL(B)2003",#N/A,TRUE,"B.analítico B (2)";"RESULTADO mes a mes (B)2003",#N/A,TRUE,"mês a mês (2)";"ESTOQUEANALITICO(B)2003",#N/A,TRUE,"estoque";"PROVISÕES2003",#N/A,TRUE,"prov-contas a receber";"CAPA ANÁLISE",#N/A,TRUE,"capa (2)";"ESTOQUEPA 12",#N/A,TRUE,"estoque";"PRODUÇÃO 12",#N/A,TRUE,"produção";"VOLUME 12",#N/A,TRUE,"volume";"MIX 12",#N/A,TRUE,"mix";"LBRUTO2003(1)",#N/A,TRUE,"lb2003";"LBRUTO2003(2)",#N/A,TRUE,"lb2003";"LBRUTO2003(3)",#N/A,TRUE,"lb2003";"ANALISE 12",#N/A,TRUE,"análise";"CAPA CONTROLADORA",#N/A,TRUE,"capa (2)";"BAL(A)2003",#N/A,TRUE,"BAL A (2)";"RESULTADO mes a mes (A)2003",#N/A,TRUE,"mês a mês (2)";"MUTAÇÃO(A)2003",#N/A,TRUE,"mutação A (2)";"FINANCEIRAS(A)2003",#N/A,TRUE,"financeiras (A)";"DOAR(A)2003",#N/A,TRUE,"DOAR A (2)";"FLUXO(A)2003",#N/A,TRUE,"FLUXO A";"ESTOQUE(A)2003",#N/A,TRUE,"estoque";"PERMANENTE(A)2003",#N/A,TRUE,"permanente A (2)";"PERFIL(A)2003",#N/A,TRUE,"PERFIL A (2)";"EQUIVALÊNCIA2003",#N/A,TRUE,"equyt";"CAPA CONTROLADAS",#N/A,TRUE,"capa (2)";"BAL(AMER)2003",#N/A,TRUE,"B.America (2)";"RESULTADO(AMER)2003",#N/A,TRUE,"mês a mês (2)";"BAL(TRAD)2003",#N/A,TRUE,"B.Trading (2)";"RESULTADO(TRAD)2003",#N/A,TRUE,"mês a mês (2)"}</definedName>
    <definedName name="wrn.Headcount." hidden="1">{#N/A,#N/A,FALSE,"Headcount_PCS ";#N/A,#N/A,FALSE,"Headcount CIG";#N/A,#N/A,FALSE,"Headcount iDEN";#N/A,#N/A,FALSE,"JAG PLANT TREND"}</definedName>
    <definedName name="wrn.IDEN." hidden="1">{#N/A,#N/A,FALSE,"Cover";#N/A,#N/A,FALSE,"Comments IDEN";#N/A,#N/A,FALSE,"BS IDEN";#N/A,#N/A,FALSE,"P&amp;L IDEN";#N/A,#N/A,FALSE,"Cash Flow IDEN";#N/A,#N/A,FALSE,"MBR IDEN";#N/A,#N/A,FALSE,"Headcount - IDEN";#N/A,#N/A,FALSE,"FAB UN IDEN";#N/A,#N/A,FALSE,"IDEN MFG";#N/A,#N/A,FALSE,"IDEN 6-Up Charts  ";#N/A,#N/A,FALSE,"IDEN Inventory";#N/A,#N/A,FALSE,"FM iDEN";#N/A,#N/A,FALSE,"NSAD IDEN";#N/A,#N/A,FALSE,"Capital Expenditures"}</definedName>
    <definedName name="wrn.iDEN._.Back._.up._.Files." hidden="1">{#N/A,#N/A,FALSE,"BACK UP Balance FDM";#N/A,#N/A,FALSE,"BACK UP ASP nsad"}</definedName>
    <definedName name="wrn.IMOBILIZADO._.GERAL." hidden="1">{"imob geral",#N/A,FALSE,"IMOB GERAL DEZ96"}</definedName>
    <definedName name="wrn.IMOBILIZADO._.GERAL._.REALIZADO." hidden="1">{"imob geral rel",#N/A,FALSE,"IMOB GERAL REL DEZ96"}</definedName>
    <definedName name="wrn.imp." hidden="1">{"tot",#N/A,FALSE,"TOTAL";"dez",#N/A,FALSE,"DEZEMBRO-98";"nov",#N/A,FALSE,"NOVEMBRO-98";"out",#N/A,FALSE,"OUTUBRO-98";"set",#N/A,FALSE,"SETEMBRO-98";"ago",#N/A,FALSE,"AGOSTO-98";"jul",#N/A,FALSE,"JULHO-98";"jun",#N/A,FALSE,"JUNHO-98";"mai",#N/A,FALSE,"MAIO-98";"abr",#N/A,FALSE,"ABRIL-98";"mar",#N/A,FALSE,"MARÇO-98";"fev",#N/A,FALSE,"FEVEREIRO-98";"jan",#N/A,FALSE,"JANEIRO-98"}</definedName>
    <definedName name="wrn.impprecos." hidden="1">{"preco1",#N/A,TRUE,"Analise preços";"peq",#N/A,TRUE,"Analise preços";"resu",#N/A,TRUE,"TOTAL"}</definedName>
    <definedName name="wrn.impresión." hidden="1">{"page21",#N/A,FALSE,"TranSideco";"page20",#N/A,FALSE,"Coven.";"page19",#N/A,FALSE,"Comparac.";"page18",#N/A,FALSE,"Comparac.";"page17",#N/A,FALSE,"EvolDotac.";"page16",#N/A,FALSE,"Eco-Fin";"page15",#N/A,FALSE,"Eco-Fin";"page14",#N/A,FALSE,"Inversiones";"page13",#N/A,FALSE,"Inversiones";"page12",#N/A,FALSE,"Eco-Fin";"page11",#N/A,FALSE,"Eco-Fin";"page10",#N/A,FALSE,"Eco-Fin";"page9",#N/A,FALSE,"Eco-Fin";"page8",#N/A,FALSE,"Eco-Fin";"page7",#N/A,FALSE,"Eco-Fin";"page6",#N/A,FALSE,"Eco-Fin";"pageventas4",#N/A,FALSE,"Eco-Fin";"pageventas3",#N/A,FALSE,"Eco-Fin";"page5",#N/A,FALSE,"Eco-Fin";"page4",#N/A,FALSE,"Eco-Fin";"page3",#N/A,FALSE,"Eco-Fin";"page2",#N/A,FALSE,"Eco-Fin";"page1",#N/A,FALSE,"Eco-Fin";"cara1",#N/A,FALSE,"Carátula"}</definedName>
    <definedName name="wrn.Income_Statement." hidden="1">{"Income_Statement",#N/A,FALSE,"XNV"}</definedName>
    <definedName name="wrn.Ingresos._.Cumul." hidden="1">{"PVNDU Cumul",#N/A,TRUE,"EFFETS TOTAL";"PVNDU Mes",#N/A,TRUE,"EFFETS TOTAL";"Volumen mes",#N/A,TRUE,"EFFETS TOTAL";"Volumen Cumul",#N/A,TRUE,"EFFETS TOTAL"}</definedName>
    <definedName name="wrn.Inputsheet_ProjectInput." hidden="1">{"ProjectInput",#N/A,FALSE,"INPUT-AREA"}</definedName>
    <definedName name="wrn.INTEGRAL." hidden="1">{#N/A,#N/A,FALSE,"ATIVO-CI";#N/A,#N/A,FALSE,"PASSIVO-CI";#N/A,#N/A,FALSE,"RESULT- CI"}</definedName>
    <definedName name="wrn.inventory._.aging." hidden="1">{#N/A,#N/A,FALSE,"PLEDGE";#N/A,#N/A,FALSE,"GLADE";#N/A,#N/A,FALSE,"GREEN BIRD";#N/A,#N/A,FALSE,"MR. MUSCLE";#N/A,#N/A,FALSE,"TOILET DUCK";#N/A,#N/A,FALSE,"Other Home Care";#N/A,#N/A,FALSE,"RED BIRD";#N/A,#N/A,FALSE,"SHANGHAI";#N/A,#N/A,FALSE,"RAID";#N/A,#N/A,FALSE,"OFF";#N/A,#N/A,FALSE,"SEAGULL";#N/A,#N/A,FALSE,"HALSA";#N/A,#N/A,FALSE,"SOFT SENSE";#N/A,#N/A,FALSE,"TOTAL"}</definedName>
    <definedName name="wrn.Investors._.II." hidden="1">{#N/A,#N/A,FALSE,"Fund-II"}</definedName>
    <definedName name="wrn.Jahresumsätze._.Folien._.3._.bis._.8.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wrn.jan." hidden="1">{#N/A,#N/A,FALSE,"Jan"}</definedName>
    <definedName name="wrn.JUINTI._.IRENDA." hidden="1">{"Planil_IR",#N/A,FALSE,"BALJUN97";"Financeiras_Líquidas",#N/A,FALSE,"BALJUN97"}</definedName>
    <definedName name="wrn.Kalkulation._.Vorderachse." hidden="1">{#N/A,#N/A,FALSE,"P";#N/A,#N/A,FALSE,"Material";#N/A,#N/A,FALSE,"kalk-Kosten";#N/A,#N/A,FALSE,"Personal";#N/A,#N/A,FALSE,"Gemeinkosten-Gesamt";#N/A,#N/A,FALSE,"VV-Sonstiges";#N/A,#N/A,FALSE,"Entwicklung und Projektierung";#N/A,#N/A,FALSE,"Umlaufvermögen";#N/A,#N/A,FALSE,"start-up";#N/A,#N/A,FALSE,"invest";#N/A,#N/A,FALSE,"Prämissen";#N/A,#N/A,FALSE,"QAF";#N/A,#N/A,FALSE,"Kalkulation";#N/A,#N/A,FALSE,"Überleitung"}</definedName>
    <definedName name="wrn.Komplett." hidden="1">{#N/A,#N/A,TRUE,"assumtions";#N/A,#N/A,TRUE,"CF";#N/A,#N/A,TRUE,"BS";#N/A,#N/A,TRUE,"P&amp;L";#N/A,#N/A,TRUE,"BEP";#N/A,#N/A,TRUE,"CapEx, Depr, Bookvalues";#N/A,#N/A,TRUE,"R65";#N/A,#N/A,TRUE,"Labor";#N/A,#N/A,TRUE,"PG1";#N/A,#N/A,TRUE,"R380";#N/A,#N/A,TRUE,"TTL";#N/A,#N/A,TRUE,"P&amp;L Purchase";#N/A,#N/A,TRUE,"balance sheet";#N/A,#N/A,TRUE,"Multiples";#N/A,#N/A,TRUE,"volume";#N/A,#N/A,TRUE,"balance sheet"}</definedName>
    <definedName name="wrn.Kuwait._.1." hidden="1">{#N/A,#N/A,FALSE,"Fund-I"}</definedName>
    <definedName name="wrn.LoanInformation." hidden="1">{#N/A,#N/A,FALSE,"LoanAssumptions"}</definedName>
    <definedName name="wrn.LYreports." hidden="1">{#N/A,#N/A,FALSE,"B10-Value";#N/A,#N/A,FALSE,"B10-Unit ";#N/A,#N/A,FALSE,"MgnPrdRgn";#N/A,#N/A,FALSE,"MgnProd";#N/A,#N/A,FALSE,"SaleProRegn";#N/A,#N/A,FALSE,"SaleRgnCustmr";#N/A,#N/A,FALSE,"Coll_analysis";#N/A,#N/A,FALSE,"BlackList";#N/A,#N/A,FALSE,"Sales&amp;Collctn";#N/A,#N/A,FALSE,"A_RDueDays"}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rch._.99._.Report." hidden="1">{#N/A,#N/A,FALSE,"Extension Title";#N/A,#N/A,FALSE,"Extensions Main";#N/A,#N/A,FALSE,"Christchurst";#N/A,#N/A,FALSE,"Larkfield Extension";#N/A,#N/A,FALSE,"Taunton";#N/A,#N/A,FALSE,"Farlington";#N/A,#N/A,FALSE,"Sidney Street";#N/A,#N/A,FALSE,"Tamworth";#N/A,#N/A,FALSE,"New Build Main"}</definedName>
    <definedName name="wrn.MBRS." hidden="1">{#N/A,#N/A,FALSE,"MBR PCS";#N/A,#N/A,FALSE,"MBR CIG";#N/A,#N/A,FALSE,"MBR iDEN";#N/A,#N/A,FALSE,"MBR_FWT";#N/A,#N/A,FALSE,"MBR TOTAL"}</definedName>
    <definedName name="wrn.mgt." hidden="1">{#N/A,#N/A,FALSE,"B05ai.MGT";#N/A,#N/A,FALSE,"B05aii.MGT";#N/A,#N/A,FALSE,"B05aiii.MGT";#N/A,#N/A,FALSE,"B07a.MGT";#N/A,#N/A,FALSE,"B08a.MGT";#N/A,#N/A,FALSE,"B09a.MGT";#N/A,#N/A,FALSE,"b10a.MGT";#N/A,#N/A,FALSE,"B11a.MGT";#N/A,#N/A,FALSE,"B04a.MGT";#N/A,#N/A,FALSE,"B03a.MGT";#N/A,#N/A,FALSE,"B02a.MGT"}</definedName>
    <definedName name="wrn.Monatsbericht." hidden="1">{#N/A,#N/A,FALSE,"Sum";#N/A,#N/A,FALSE,"Com";#N/A,#N/A,FALSE,"AB-Marge";#N/A,#N/A,FALSE,"P&amp;L";#N/A,#N/A,FALSE,"ProdTot";#N/A,#N/A,FALSE,"Exp";#N/A,#N/A,FALSE,"NonOp";#N/A,#N/A,FALSE,"ServicePC";#N/A,#N/A,FALSE,"Pers";#N/A,#N/A,FALSE,"Pers-MAN";#N/A,#N/A,FALSE,"Ratio1";#N/A,#N/A,FALSE,"FinPlanAct";#N/A,#N/A,FALSE,"FinPlanFC";#N/A,#N/A,FALSE,"FinPlan";#N/A,#N/A,FALSE,"StandLim"}</definedName>
    <definedName name="wrn.MONTH._.END._.SPREADS." hidden="1">{#N/A,#N/A,FALSE,"Verify at a Glance";#N/A,#N/A,FALSE,"CARMS VS. STAR";#N/A,#N/A,FALSE,"Intel-US";#N/A,#N/A,FALSE,"Intel-PR";#N/A,#N/A,FALSE,"Intel-MISC-6";#N/A,#N/A,FALSE,"Intel-DPA-7";#N/A,#N/A,FALSE,"Intel-IRE";#N/A,#N/A,FALSE,"Intel-HK";#N/A,#N/A,FALSE,"DAILY INPUT";#N/A,#N/A,FALSE,"P5 HK Cash List"}</definedName>
    <definedName name="wrn.monthly._.production._.report.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rn.monthly._.production._.report.1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wrn.Monthly._.Report." hidden="1">{#N/A,#N/A,FALSE,"Summary";#N/A,#N/A,FALSE,"PCR Total";#N/A,#N/A,FALSE,"PCR IMT";#N/A,#N/A,FALSE,"PCR BMF";#N/A,#N/A,FALSE,"PCR BKU";#N/A,#N/A,FALSE,"PCR BMT";#N/A,#N/A,FALSE,"PCR BFB";#N/A,#N/A,FALSE,"PCR BWM";#N/A,#N/A,FALSE,"PCR Hesta";#N/A,#N/A,FALSE,"PCR EXT";#N/A,#N/A,FALSE,"PCR FST";#N/A,#N/A,FALSE,"PCR BGE";#N/A,#N/A,FALSE,"PCR BGL";#N/A,#N/A,FALSE,"PCR Others";#N/A,#N/A,FALSE,"Margin";#N/A,#N/A,FALSE,"Exp Total";#N/A,#N/A,FALSE,"Exp Sales";#N/A,#N/A,FALSE,"Exp Service";#N/A,#N/A,FALSE,"Exp Admin";#N/A,#N/A,FALSE,"Nonop";#N/A,#N/A,FALSE,"ServPC";#N/A,#N/A,FALSE,"Assets";#N/A,#N/A,FALSE,"Liab";#N/A,#N/A,FALSE,"Balance";#N/A,#N/A,FALSE,"Per";#N/A,#N/A,FALSE,"MAN Per";#N/A,#N/A,FALSE,"PCR Service";#N/A,#N/A,FALSE,"Exp Analysis";#N/A,#N/A,FALSE,"Liquidity";#N/A,#N/A,FALSE,"Stock SC";#N/A,#N/A,FALSE,"Stock PC"}</definedName>
    <definedName name="wrn.Monthly._.reports." hidden="1">{"Consol PL",#N/A,FALSE,"Consol PL";"Forecast",#N/A,FALSE,"Forecasts";"Company analysis actual",#N/A,FALSE,"Company Analysis";"Period analysis actual",#N/A,FALSE,"Period analysis";"Cons Adj.",#N/A,FALSE,"Consol Adj";"Consol Adj. detail actual",#N/A,FALSE,"Consol Adj detail";"Adj. Workings",#N/A,FALSE,"Adj Workings";"Operating Costs",#N/A,FALSE,"Operating costs";"Interest summary",#N/A,FALSE,"Interest";"PBT summary",#N/A,FALSE,"Profit Before Tax";"Tax summary",#N/A,FALSE,"Tax";"PAT summary",#N/A,FALSE,"Profit After Tax";"Dividends summary",#N/A,FALSE,"Dividends &amp; MI";"Int. Turnover summary",#N/A,FALSE,"Internal Turnover";"Int. Costs summary",#N/A,FALSE,"Internal Costs";"Int. Interest summary",#N/A,FALSE,"Internal Interest"}</definedName>
    <definedName name="wrn.MonthlyRentRoll." hidden="1">{"MonthlyRentRoll",#N/A,FALSE,"RentRoll"}</definedName>
    <definedName name="wrn.mortassetplan." hidden="1">{#N/A,#N/A,FALSE,"asset plan";#N/A,#N/A,FALSE,"Mgmt Report";#N/A,#N/A,FALSE,"sensitivities (2)";#N/A,#N/A,FALSE,"sensitivities";#N/A,#N/A,FALSE,"let up 10  Mort";#N/A,#N/A,FALSE,"let up 12 Mort";#N/A,#N/A,FALSE,"Capex";#N/A,#N/A,FALSE,"Capex Cashflow (2)";#N/A,#N/A,FALSE,"Capex Cashflow (3)";#N/A,#N/A,FALSE,"House View";#N/A,#N/A,FALSE,"kpi"}</definedName>
    <definedName name="wrn.MSR." hidden="1">{#N/A,#N/A,TRUE,"Title Page";#N/A,#N/A,TRUE,"Accomplishments";#N/A,#N/A,TRUE,"Issues";#N/A,#N/A,TRUE,"Oper Co Summary";#N/A,#N/A,TRUE,"Sector Summary";#N/A,#N/A,TRUE,"QTR QUICK LOOK";#N/A,#N/A,TRUE,"Op Plan Perf";#N/A,#N/A,TRUE,"IWT Summary";#N/A,#N/A,TRUE,"Backlog Adj";#N/A,#N/A,TRUE,"Significant Orders";#N/A,#N/A,TRUE,"Award Fees ";#N/A,#N/A,TRUE,"PRECON-NONCON";#N/A,#N/A,TRUE,"Risks and Opps";#N/A,#N/A,TRUE,"Employment";#N/A,#N/A,TRUE,"95, 96 Mission Success "}</definedName>
    <definedName name="wrn.Net._.Position._.Report." hidden="1">{#N/A,#N/A,FALSE,"NEW exchange difference";#N/A,#N/A,FALSE,"net position"}</definedName>
    <definedName name="wrn.net96PTC1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ew96FS.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FS1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wrn.new96PTC.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wrn.NSS.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.Office." hidden="1">{#N/A,#N/A,FALSE,"OffAdvance";#N/A,#N/A,FALSE,"OffExpRprt";#N/A,#N/A,FALSE,"Travelling";#N/A,#N/A,FALSE,"Entertmnt";#N/A,#N/A,FALSE,"Promotion"}</definedName>
    <definedName name="wrn.OperatingAssumtions." hidden="1">{#N/A,#N/A,FALSE,"OperatingAssumptions"}</definedName>
    <definedName name="wrn.Package." hidden="1">{#N/A,#N/A,FALSE,"BS4th";#N/A,#N/A,FALSE,"CashFlow";#N/A,#N/A,FALSE,"A_RDueDays";#N/A,#N/A,FALSE,"BlackList";#N/A,#N/A,FALSE,"Prepaid";#N/A,#N/A,FALSE,"Employee";#N/A,#N/A,FALSE,"Inventry";#N/A,#N/A,FALSE,"InterCo";#N/A,#N/A,FALSE,"Payable";#N/A,#N/A,FALSE,"SW6_4th";#N/A,#N/A,FALSE,"SalesCollctn";#N/A,#N/A,FALSE,"Collection";#N/A,#N/A,FALSE,"B10-Value";#N/A,#N/A,FALSE,"B10-Unit";#N/A,#N/A,FALSE,"GrsMgnProd";#N/A,#N/A,FALSE,"ExpDetailed";#N/A,#N/A,FALSE,"ExpDetailedYTD";#N/A,#N/A,FALSE,"CommExp";#N/A,#N/A,FALSE,"CommExpYTD";#N/A,#N/A,FALSE,"RgnP&amp;L";#N/A,#N/A,FALSE,"GrMgnPrdRgn";#N/A,#N/A,FALSE,"SaleProRegn";#N/A,#N/A,FALSE,"SaleRgnCustmr";#N/A,#N/A,FALSE,"ExchDiff";#N/A,#N/A,FALSE,"Headcount"}</definedName>
    <definedName name="wrn.Paraná._.mais._.Emprego." hidden="1">{#N/A,#N/A,FALSE,"DIXIE TOGA"}</definedName>
    <definedName name="wrn.PCS.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.PCS_CSG_PPG." hidden="1">{#N/A,#N/A,FALSE,"Cover";#N/A,#N/A,FALSE,"Comments CSS";#N/A,#N/A,FALSE,"Comments PPG";#N/A,#N/A,FALSE,"BS CSS";#N/A,#N/A,FALSE,"P&amp;L CSS";#N/A,#N/A,FALSE,"BS PPG";#N/A,#N/A,FALSE,"P&amp;L PPG";#N/A,#N/A,FALSE,"Cash Flow CSS";#N/A,#N/A,FALSE,"Cash Flow PPG";#N/A,#N/A,FALSE,"MBR CSS";#N/A,#N/A,FALSE,"MBR PPG";#N/A,#N/A,FALSE,"Headcount - CSS";#N/A,#N/A,FALSE,"Headcount - PPG";#N/A,#N/A,FALSE,"FAB UN CSS";#N/A,#N/A,FALSE,"FAB UN PPG";#N/A,#N/A,FALSE,"CSS MFG";#N/A,#N/A,FALSE,"CSS Distr ";#N/A,#N/A,FALSE,"CSS 6-Up Charts";#N/A,#N/A,FALSE,"PPG MFG";#N/A,#N/A,FALSE,"PPG 6-Up Charts ";#N/A,#N/A,FALSE,"CSS Inventory";#N/A,#N/A,FALSE,"PPG Inventory";#N/A,#N/A,FALSE,"FM CSS";#N/A,#N/A,FALSE,"NSAD ASP CSS";#N/A,#N/A,FALSE,"Capital Expenditures";#N/A,#N/A,FALSE,"R&amp;D  Report"}</definedName>
    <definedName name="wrn.Pending._.AC." hidden="1">{#N/A,#N/A,FALSE,"3410599";#N/A,#N/A,FALSE,"34106";#N/A,#N/A,FALSE,"34903";#N/A,#N/A,FALSE,"4450999";#N/A,#N/A,FALSE,"44901"}</definedName>
    <definedName name="wrn.PISCOFINS2004." hidden="1">{"SLDCOMPENSAR",#N/A,TRUE,"SALDOCOMPENSAR";"RESANO",#N/A,TRUE,"Resumo Ano";"RESMENSAL",#N/A,TRUE,"Resumo Mensal";"ENTRADASJAN04",#N/A,TRUE,"EntradasJan";"DESPFINPISJAN04",#N/A,TRUE,"DESP FIN PIS-JAN04";"CUSTOJAN04",#N/A,TRUE,"DESP-JAN04";"ENTRADASFEV04",#N/A,TRUE,"EntradasFev";"DESPFINPISFEV04",#N/A,TRUE,"DESP FIN PIS-FEV04";"DESPFINCOFFEV04",#N/A,TRUE,"DESP FIN COFINS-FEV04";"CUSTOFEV04",#N/A,TRUE,"DESP-FEV04"}</definedName>
    <definedName name="wrn.PL._.trend." hidden="1">{"Jan-June",#N/A,FALSE,"Sheet4";"Jul-Dec",#N/A,FALSE,"Sheet4"}</definedName>
    <definedName name="wrn.PLANIL._.141." hidden="1">{"plan imob 141",#N/A,FALSE,"IMOB 141 DEZ96"}</definedName>
    <definedName name="wrn.PLANIL._.142." hidden="1">{"plan imob 142",#N/A,FALSE,"IMOB 142 DEZ96"}</definedName>
    <definedName name="wrn.PLANIL._.143." hidden="1">{"plan imob 143",#N/A,FALSE,"IMOB 143 DEZ96"}</definedName>
    <definedName name="wrn.PLANIL._.COMPLETO." hidden="1">{"plan imob 141",#N/A,FALSE,"IMOB 141 DEZ96";"plan imob 142",#N/A,FALSE,"IMOB 142 DEZ96";"plan imob 143",#N/A,FALSE,"IMOB 143 DEZ96";"imob geral",#N/A,FALSE,"IMOB GERAL DEZ96"}</definedName>
    <definedName name="wrn.PLANTA._.VS._.1997." hidden="1">{#N/A,#N/A,FALSE,"SUP";#N/A,#N/A,FALSE,"ERN";#N/A,#N/A,FALSE,"CRO";#N/A,#N/A,FALSE,"INT";#N/A,#N/A,FALSE,"VIP";#N/A,#N/A,FALSE,"VIC"}</definedName>
    <definedName name="wrn.Presentation." hidden="1">{#N/A,#N/A,TRUE,"Summary";"AnnualRentRoll",#N/A,TRUE,"RentRoll";#N/A,#N/A,TRUE,"ExitStratigy";#N/A,#N/A,TRUE,"OperatingAssumptions"}</definedName>
    <definedName name="wrn.PRINT." hidden="1">{#N/A,#N/A,FALSE,"Contents";#N/A,#N/A,FALSE,"Ex 1";#N/A,#N/A,FALSE,"Ex 2";#N/A,#N/A,FALSE,"Ex 3";#N/A,#N/A,FALSE,"Ex 4";#N/A,#N/A,FALSE,"Ex 5";#N/A,#N/A,FALSE,"Ex 6";#N/A,#N/A,FALSE,"Ex 7";#N/A,#N/A,FALSE,"Ex 8";#N/A,#N/A,FALSE,"Ex 9";#N/A,#N/A,FALSE,"Ex 10";#N/A,#N/A,FALSE,"Ex 11";#N/A,#N/A,FALSE,"Ex 12";#N/A,#N/A,FALSE,"Ex 13";#N/A,#N/A,FALSE,"Ex 14";#N/A,#N/A,FALSE,"Ex 15";#N/A,#N/A,FALSE,"Ex 16";#N/A,#N/A,FALSE,"Ex 17";#N/A,#N/A,FALSE,"Ex 18";#N/A,#N/A,FALSE,"Ex 19";#N/A,#N/A,FALSE,"Ex 20";#N/A,#N/A,FALSE,"Ex 21";#N/A,#N/A,FALSE,"Ex 22";#N/A,#N/A,FALSE,"Ex 23";#N/A,#N/A,FALSE,"Ex 24";#N/A,#N/A,FALSE,"Ex 25";#N/A,#N/A,FALSE,"Ex 26";#N/A,#N/A,FALSE,"Ex 27";#N/A,#N/A,FALSE,"Ex 28";#N/A,#N/A,FALSE,"Ex 29";#N/A,#N/A,FALSE,"Ex 30";#N/A,#N/A,FALSE,"Ex 31";#N/A,#N/A,FALSE,"Ex 32";#N/A,#N/A,FALSE,"Ex 33";#N/A,#N/A,FALSE,"Ex 34";#N/A,#N/A,FALSE,"Ex 35";#N/A,#N/A,FALSE,"Ex 36";#N/A,#N/A,FALSE,"Ex 37"}</definedName>
    <definedName name="wrn.print._.all." hidden="1">{#N/A,#N/A,FALSE,"Gateway";#N/A,#N/A,FALSE,"NewYork";#N/A,#N/A,FALSE,"Ocean";#N/A,#N/A,FALSE,"GVH";#N/A,#N/A,FALSE,"GVM";#N/A,#N/A,FALSE,"GVT"}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hidden="1">{#N/A,#N/A,FALSE,"Summary";#N/A,#N/A,FALSE,"PCR Total";#N/A,#N/A,FALSE,"PCR IMT";#N/A,#N/A,FALSE,"PCR BMF";#N/A,#N/A,FALSE,"PCR BKU";#N/A,#N/A,FALSE,"PCR BMT";#N/A,#N/A,FALSE,"PCR EXT";#N/A,#N/A,FALSE,"PCR FST";#N/A,#N/A,FALSE,"PCR Others";#N/A,#N/A,FALSE,"Exp Total";#N/A,#N/A,FALSE,"Nonop";#N/A,#N/A,FALSE,"Per";#N/A,#N/A,FALSE,"PCR Service";#N/A,#N/A,FALSE,"Exp Analysis"}</definedName>
    <definedName name="wrn.Print._.Phased." hidden="1">{"P&amp;L phased",#N/A,FALSE,"P and L";"Interest phased",#N/A,FALSE,"Interest";"Cshf phased",#N/A,FALSE,"Cashflow";"BSheet phased",#N/A,FALSE,"B Sheet";"Capex phased",#N/A,FALSE,"Capex"}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ofit._.and._.Loss." hidden="1">{#N/A,#N/A,FALSE,"Start";#N/A,#N/A,FALSE,"Coversheet";"Index1",#N/A,FALSE,"Index";"Index2",#N/A,FALSE,"Index";#N/A,#N/A,FALSE,"Comment";#N/A,#N/A,FALSE,"Market";#N/A,#N/A,FALSE,"Basis";#N/A,#N/A,FALSE,"OrdSl";#N/A,#N/A,FALSE,"IcOrd-Plan";#N/A,#N/A,FALSE,"IcOrd-Mon";#N/A,#N/A,FALSE,"IcSal-Plan";#N/A,#N/A,FALSE,"IcSal-Mon";#N/A,#N/A,FALSE,"Sum-Plan";#N/A,#N/A,FALSE,"Sum-Mon";#N/A,#N/A,FALSE,"Total-Plan";#N/A,#N/A,FALSE,"Total-Mon";#N/A,#N/A,FALSE,"IMT-Plan";#N/A,#N/A,FALSE,"IMT-Mon";#N/A,#N/A,FALSE,"BMF-Plan";#N/A,#N/A,FALSE,"BMF-Mon";#N/A,#N/A,FALSE,"BKU-Plan";#N/A,#N/A,FALSE,"BKU-Mon";#N/A,#N/A,FALSE,"BMT-Plan";#N/A,#N/A,FALSE,"BMT-Mon";#N/A,#N/A,FALSE,"BFB-Plan";#N/A,#N/A,FALSE,"BFB-Mon";#N/A,#N/A,FALSE,"Hesta-Plan";#N/A,#N/A,FALSE,"Hesta-Mon";#N/A,#N/A,FALSE,"EXT-Plan";#N/A,#N/A,FALSE,"EXT-Mon";#N/A,#N/A,FALSE,"FST-Plan";#N/A,#N/A,FALSE,"FST-Mon";#N/A,#N/A,FALSE,"Others-Plan";#N/A,#N/A,FALSE,"Others-Mon";#N/A,#N/A,FALSE,"Exp-Plan";#N/A,#N/A,FALSE,"Exp-Mon";#N/A,#N/A,FALSE,"Sales-Plan";#N/A,#N/A,FALSE,"Sales-Mon";#N/A,#N/A,FALSE,"Service-Plan";#N/A,#N/A,FALSE,"Service-Mon";#N/A,#N/A,FALSE,"Admin-Plan";#N/A,#N/A,FALSE,"Admin-Mon";#N/A,#N/A,FALSE,"Nonop-Plan";#N/A,#N/A,FALSE,"Nonop-Mon";#N/A,#N/A,FALSE,"ServPC-Plan";#N/A,#N/A,FALSE,"ServPC-Mon";#N/A,#N/A,FALSE,"VarPLFC";#N/A,#N/A,FALSE,"VarFCPL";#N/A,#N/A,FALSE,"VarPLAIM"}</definedName>
    <definedName name="wrn.PropertyInformation." hidden="1">{#N/A,#N/A,FALSE,"PropertyInfo"}</definedName>
    <definedName name="wrn.Pulp." hidden="1">{"Pulp Production",#N/A,FALSE,"Pulp";"Pulp Earnings",#N/A,FALSE,"Pulp"}</definedName>
    <definedName name="wrn.QAPU." hidden="1">{#N/A,#N/A,FALSE,"5YRASSPl - consol'd";#N/A,#N/A,FALSE,"5YRASSPl - hotel";#N/A,#N/A,FALSE,"5YRASSPl - excl htl";#N/A,#N/A,FALSE,"VarReport";#N/A,#N/A,FALSE,"Sensitivity";#N/A,#N/A,FALSE,"House View ";#N/A,#N/A,FALSE,"KPI"}</definedName>
    <definedName name="wrn.R65." hidden="1">{#N/A,#N/A,TRUE,"CF";#N/A,#N/A,TRUE,"BS";#N/A,#N/A,TRUE,"P&amp;L";#N/A,#N/A,TRUE,"R65";#N/A,#N/A,TRUE,"Labor";#N/A,#N/A,TRUE,"CapEx, Depr, Bookvalues";#N/A,#N/A,TRUE,"assumtions"}</definedName>
    <definedName name="wrn.rankbcos." hidden="1">{#N/A,#N/A,FALSE,"Rankbcos"}</definedName>
    <definedName name="wrn.RELAT.._.INVEST.._.ANUAL." hidden="1">{"PLAN INVEST. ANUAL",#N/A,FALSE,"INVEST. GERAL"}</definedName>
    <definedName name="wrn.relat.._.mut.._.dez._.96." hidden="1">{"plan mut pl dez96",#N/A,FALSE,"MUTACAO DEZ96"}</definedName>
    <definedName name="wrn.relatorio._.mutacao." hidden="1">{"mutação PL 1996",#N/A,FALSE,"MUTACAO DEZ96"}</definedName>
    <definedName name="wrn.rental." hidden="1">{#N/A,#N/A,FALSE,"B05ai.RL";#N/A,#N/A,FALSE,"B05aii.RL";#N/A,#N/A,FALSE,"B05aiii.RL";#N/A,#N/A,FALSE,"B07a.RL";#N/A,#N/A,FALSE,"B08a.RL";#N/A,#N/A,FALSE,"B09a.RL";#N/A,#N/A,FALSE,"B10a.rl";#N/A,#N/A,FALSE,"B11a.rl";#N/A,#N/A,FALSE,"B04a.RL";#N/A,#N/A,FALSE,"B03a.RL";#N/A,#N/A,FALSE,"B02a.RL"}</definedName>
    <definedName name="wrn.REPORT." hidden="1">{#N/A,#N/A,FALSE,"Sales  total 9712";#N/A,#N/A,FALSE,"Sales  total 9712";#N/A,#N/A,FALSE,"Sales  total 9712";#N/A,#N/A,FALSE,"Sales  total 9712"}</definedName>
    <definedName name="wrn.Reporting._.CO." hidden="1">{#N/A,#N/A,FALSE,"ENTRETIEN";#N/A,#N/A,FALSE,"FF RF";#N/A,#N/A,FALSE,"FF DIR RF";#N/A,#N/A,FALSE,"FF DIR COM";#N/A,#N/A,FALSE,"FF DIR INDUS";#N/A,#N/A,FALSE,"FF DIR FINA";#N/A,#N/A,FALSE,"FF DIR GENE (2)";#N/A,#N/A,FALSE,"FF DIR RH";#N/A,#N/A,FALSE,"FF DIR RD";#N/A,#N/A,FALSE,"FF NATURE DSIC";#N/A,#N/A,FALSE,"FF NATURE DSIC (2)";#N/A,#N/A,FALSE,"FF NATURE DSIC YC S01";#N/A,#N/A,FALSE,"FF NATURE DSIC HORS S01";#N/A,#N/A,FALSE,"FF NATURE S01";#N/A,#N/A,FALSE,"FF NATURE S01 (2)";#N/A,#N/A,FALSE,"FF NATURE RF";#N/A,#N/A,FALSE,"FF NATURE COM";#N/A,#N/A,FALSE,"FF NATURE INDUS";#N/A,#N/A,FALSE,"FF NATURE FINA";#N/A,#N/A,FALSE,"FF NATURE GENE"}</definedName>
    <definedName name="wrn.Ride._.Estimate." hidden="1">{#N/A,#N/A,TRUE,"Cover Memo";"Ride Estimate",#N/A,TRUE,"Change Summary";"Ride Estimate",#N/A,TRUE,"Estimate Summary";"Ride Estimate",#N/A,TRUE,"Dept. Summary";"Ride Estimate",#N/A,TRUE,"DOW Detail"}</definedName>
    <definedName name="wrn.Rollups._.Only." hidden="1">{#N/A,#N/A,FALSE,"Total";#N/A,#N/A,FALSE,"EP";#N/A,#N/A,FALSE,"CCO";#N/A,#N/A,FALSE,"THH"}</definedName>
    <definedName name="wrn.Sales." hidden="1">{#N/A,#N/A,FALSE,"Marketing";#N/A,#N/A,FALSE,"Selling";#N/A,#N/A,FALSE,"Promotional";#N/A,#N/A,FALSE,"Advertising"}</definedName>
    <definedName name="wrn.Show._.Estimate." hidden="1">{#N/A,#N/A,TRUE,"Cover Memo";"Show Estimate",#N/A,TRUE,"Change Summary";"Show Estimate",#N/A,TRUE,"Estimate Summary";"Show Estimate",#N/A,TRUE,"Dept. Summary";"Show Estimate",#N/A,TRUE,"DOW Detail"}</definedName>
    <definedName name="wrn.SOCIETARIA." hidden="1">{#N/A,#N/A,FALSE,"ATIVO-LEG";#N/A,#N/A,FALSE,"PASSIVO-LEG";#N/A,#N/A,FALSE,"RESULT-LEG"}</definedName>
    <definedName name="wrn.Statement._.Review." hidden="1">{#N/A,#N/A,TRUE,"Contents";#N/A,#N/A,TRUE,"Cover Page";#N/A,#N/A,TRUE,"Highlights";#N/A,#N/A,TRUE,"Financial Summary";#N/A,#N/A,TRUE,"Blank";#N/A,#N/A,TRUE,"Orders";#N/A,#N/A,TRUE,"Orders Elims";#N/A,#N/A,TRUE,"Sig Orders";#N/A,#N/A,TRUE,"Sales";#N/A,#N/A,TRUE,"Sales Elims";#N/A,#N/A,TRUE,"EBIT";#N/A,#N/A,TRUE,"EBIT Elims";#N/A,#N/A,TRUE,"Backlog";#N/A,#N/A,TRUE,"Backlog Elims";#N/A,#N/A,TRUE,"Funded Backlog ";#N/A,#N/A,TRUE,"Funded BL Elims";#N/A,#N/A,TRUE,"Cash";#N/A,#N/A,TRUE,"Employment";#N/A,#N/A,TRUE,"Award Fee";#N/A,#N/A,TRUE,"Ops &amp; Risks";#N/A,#N/A,TRUE,"Ops &amp; Risks 2";#N/A,#N/A,TRUE,"Key Issues ";#N/A,#N/A,TRUE,"Open";#N/A,#N/A,TRUE,"Orders 97-98";#N/A,#N/A,TRUE,"Sales 97-98 ";#N/A,#N/A,TRUE,"EBIT 97-98 ";#N/A,#N/A,TRUE,"Cash 97-98";#N/A,#N/A,TRUE,"Blank (2)";#N/A,#N/A,TRUE,"Yr to Yr Sales";#N/A,#N/A,TRUE,"Yr to Yr EBIT";#N/A,#N/A,TRUE,"Qtr to Qtr";#N/A,#N/A,TRUE,"AOD Status";#N/A,#N/A,TRUE,"Unex Options";#N/A,#N/A,TRUE,"Loss Contracts";#N/A,#N/A,TRUE,"Debooks";#N/A,#N/A,TRUE,"Proposals"}</definedName>
    <definedName name="wrn.Statements." hidden="1">{#N/A,#N/A,FALSE,"Co_BalSht";#N/A,#N/A,FALSE,"Co_IncStmt";#N/A,#N/A,FALSE,"Cons_BalSht";#N/A,#N/A,FALSE,"Cons_IncStmt";#N/A,#N/A,FALSE,"Cashflow"}</definedName>
    <definedName name="wrn.Summary." hidden="1">{#N/A,#N/A,FALSE,"Summary"}</definedName>
    <definedName name="wrn.summit.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mmit.1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.sunmicro." hidden="1">{#N/A,#N/A,FALSE,"FREEMAN";#N/A,#N/A,FALSE,"STEPHEN";#N/A,#N/A,FALSE,"VICTOR"}</definedName>
    <definedName name="wrn.tableau._.de._.bord._.RF." hidden="1">{#N/A,#N/A,FALSE,"Lestrem";#N/A,#N/A,FALSE,"Beinheim";#N/A,#N/A,FALSE,"Vecquemont";#N/A,#N/A,FALSE,"Lestrem+beinheim";#N/A,#N/A,FALSE,"Activite Amidon Usines";#N/A,#N/A,FALSE,"couts mat Rf";#N/A,#N/A,FALSE,"PDT Vecq."}</definedName>
    <definedName name="wrn.tableau._.de._.bord._.RF.2" hidden="1">{#N/A,#N/A,FALSE,"Lestrem";#N/A,#N/A,FALSE,"Beinheim";#N/A,#N/A,FALSE,"Vecquemont";#N/A,#N/A,FALSE,"Lestrem+beinheim";#N/A,#N/A,FALSE,"Activite Amidon Usines";#N/A,#N/A,FALSE,"couts mat Rf";#N/A,#N/A,FALSE,"PDT Vecq."}</definedName>
    <definedName name="wrn.tableau._.de._.bord._rf.3" hidden="1">{#N/A,#N/A,FALSE,"Lestrem";#N/A,#N/A,FALSE,"Beinheim";#N/A,#N/A,FALSE,"Vecquemont";#N/A,#N/A,FALSE,"Lestrem+beinheim";#N/A,#N/A,FALSE,"Activite Amidon Usines";#N/A,#N/A,FALSE,"couts mat Rf";#N/A,#N/A,FALSE,"PDT Vecq."}</definedName>
    <definedName name="wrn.taihing." hidden="1">{#N/A,#N/A,FALSE,"DIR-REP";#N/A,#N/A,FALSE,"AUD-REPORT";#N/A,#N/A,FALSE,"P7L&amp;BS";#N/A,#N/A,FALSE,"NOTES";#N/A,#N/A,FALSE,"FA";#N/A,#N/A,FALSE,"NOTES (2)";#N/A,#N/A,FALSE,"Schedule  IV";#N/A,#N/A,FALSE,"Schedule V"}</definedName>
    <definedName name="wrn.taihing.1" hidden="1">{#N/A,#N/A,FALSE,"DIR-REP";#N/A,#N/A,FALSE,"AUD-REPORT";#N/A,#N/A,FALSE,"P7L&amp;BS";#N/A,#N/A,FALSE,"NOTES";#N/A,#N/A,FALSE,"FA";#N/A,#N/A,FALSE,"NOTES (2)";#N/A,#N/A,FALSE,"Schedule  IV";#N/A,#N/A,FALSE,"Schedule V"}</definedName>
    <definedName name="wrn.talbeau._de._.bord._.rf.2" hidden="1">{#N/A,#N/A,FALSE,"Lestrem";#N/A,#N/A,FALSE,"Beinheim";#N/A,#N/A,FALSE,"Vecquemont";#N/A,#N/A,FALSE,"Lestrem+beinheim";#N/A,#N/A,FALSE,"Activite Amidon Usines";#N/A,#N/A,FALSE,"couts mat Rf";#N/A,#N/A,FALSE,"PDT Vecq."}</definedName>
    <definedName name="wrn.TEMP.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.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mp1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wrn.test." hidden="1">{#N/A,#N/A,FALSE,"wip"}</definedName>
    <definedName name="wrn.tiger.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wrn.tigertax." hidden="1">{#N/A,#N/A,FALSE,"TAXC.INDEX";#N/A,#N/A,FALSE,"Schedule I";#N/A,#N/A,FALSE,"Schedule  II";#N/A,#N/A,FALSE,"Schedule III"}</definedName>
    <definedName name="wrn.tigertax.1" hidden="1">{#N/A,#N/A,FALSE,"TAXC.INDEX";#N/A,#N/A,FALSE,"Schedule I";#N/A,#N/A,FALSE,"Schedule  II";#N/A,#N/A,FALSE,"Schedule III"}</definedName>
    <definedName name="wrn.todo." hidden="1">{"desglose domestico unidades",#N/A,FALSE,"Margen";"desglose exportacion unidades",#N/A,FALSE,"Margen";"Desglose domestico ventas",#N/A,FALSE,"Margen";"desglose exportacion ventas",#N/A,FALSE,"Margen";"desglose domestico costo",#N/A,FALSE,"Margen";"desglose exportacion costo",#N/A,FALSE,"Margen";"desglose domestico margen",#N/A,FALSE,"Margen";"desglose exportacion margen",#N/A,FALSE,"Margen";"desglose domestico margen %",#N/A,FALSE,"Margen";"desglose exportacion margen %",#N/A,FALSE,"Margen";"Resumen unidades",#N/A,FALSE,"Margen";"resumen ventas",#N/A,FALSE,"Margen";"resumen costo",#N/A,FALSE,"Margen";"resumen margen",#N/A,FALSE,"Margen";"resumen margen %",#N/A,FALSE,"Margen";"desglose domestico precio",#N/A,FALSE,"Margen";"desglose exportacion precio",#N/A,FALSE,"Margen";"desglose dom costo unit",#N/A,FALSE,"Margen";"desglose exp costo unit",#N/A,FALSE,"Margen";"desglose dom precio dlls",#N/A,FALSE,"Margen";"desglose exp precio dlls",#N/A,FALSE,"Margen";"costo dom unit dlls",#N/A,FALSE,"Margen";"costo exp unit dlls",#N/A,FALSE,"Margen"}</definedName>
    <definedName name="wrn.todo.2" hidden="1">{"desglose domestico unidades",#N/A,FALSE,"Margen";"desglose exportacion unidades",#N/A,FALSE,"Margen";"Desglose domestico ventas",#N/A,FALSE,"Margen";"desglose exportacion ventas",#N/A,FALSE,"Margen";"desglose domestico costo",#N/A,FALSE,"Margen";"desglose exportacion costo",#N/A,FALSE,"Margen";"desglose domestico margen",#N/A,FALSE,"Margen";"desglose exportacion margen",#N/A,FALSE,"Margen";"desglose domestico margen %",#N/A,FALSE,"Margen";"desglose exportacion margen %",#N/A,FALSE,"Margen";"Resumen unidades",#N/A,FALSE,"Margen";"resumen ventas",#N/A,FALSE,"Margen";"resumen costo",#N/A,FALSE,"Margen";"resumen margen",#N/A,FALSE,"Margen";"resumen margen %",#N/A,FALSE,"Margen";"desglose domestico precio",#N/A,FALSE,"Margen";"desglose exportacion precio",#N/A,FALSE,"Margen";"desglose dom costo unit",#N/A,FALSE,"Margen";"desglose exp costo unit",#N/A,FALSE,"Margen";"desglose dom precio dlls",#N/A,FALSE,"Margen";"desglose exp precio dlls",#N/A,FALSE,"Margen";"costo dom unit dlls",#N/A,FALSE,"Margen";"costo exp unit dlls",#N/A,FALSE,"Margen"}</definedName>
    <definedName name="wrn.Tools._.Segment._.Only." hidden="1">{#N/A,#N/A,FALSE,"THH";#N/A,#N/A,FALSE,"CPT";#N/A,#N/A,FALSE,"HTD"}</definedName>
    <definedName name="wrn.toptrial." hidden="1">{"toptrial",#N/A,TRUE,"toptrial";"adjustment",#N/A,TRUE,"toptrial";"voucher",#N/A,TRUE,"toptrial"}</definedName>
    <definedName name="wrn.Tudo." hidden="1">{"Demonstr",#N/A,FALSE,"Plan1";"ResumoSocietario",#N/A,FALSE,"Plan1";"ResumoSocietario",#N/A,FALSE,"Plan1"}</definedName>
    <definedName name="wrn.VALDEZ." hidden="1">{"ERMES",#N/A,FALSE,"RESUMEN";"ERACUM",#N/A,FALSE,"RESUMEN";"BG",#N/A,FALSE,"RESUMEN";"ERMES",#N/A,FALSE,"SABANAS";"ERACUM",#N/A,FALSE,"SABANAS";"BG",#N/A,FALSE,"SABANAS";"fadsa",#N/A,FALSE,"FADSA";"supsa",#N/A,FALSE,"SUPSA";"crolls",#N/A,FALSE,"CROLLS";"vicomsa",#N/A,FALSE,"VICOMSA";"viplasticos",#N/A,FALSE,"VIPLASTICOS";"vitsa",#N/A,FALSE,"VITSA";"elim",#N/A,FALSE,"ELIM"}</definedName>
    <definedName name="wrn.VALDEZ.2" hidden="1">{"ERMES",#N/A,FALSE,"RESUMEN";"ERACUM",#N/A,FALSE,"RESUMEN";"BG",#N/A,FALSE,"RESUMEN";"ERMES",#N/A,FALSE,"SABANAS";"ERACUM",#N/A,FALSE,"SABANAS";"BG",#N/A,FALSE,"SABANAS";"fadsa",#N/A,FALSE,"FADSA";"supsa",#N/A,FALSE,"SUPSA";"crolls",#N/A,FALSE,"CROLLS";"vicomsa",#N/A,FALSE,"VICOMSA";"viplasticos",#N/A,FALSE,"VIPLASTICOS";"vitsa",#N/A,FALSE,"VITSA";"elim",#N/A,FALSE,"ELIM"}</definedName>
    <definedName name="wrn.VENTAS." hidden="1">{"VENTAS1",#N/A,FALSE,"VENTAS";"VENTAS2",#N/A,FALSE,"VENTAS";"VENTAS3",#N/A,FALSE,"VENTAS";"VENTAS4",#N/A,FALSE,"VENTAS";"VENTAS5",#N/A,FALSE,"VENTAS";"VENTAS6",#N/A,FALSE,"VENTAS";"VENTAS7",#N/A,FALSE,"VENTAS";"VENTAS8",#N/A,FALSE,"VENTAS"}</definedName>
    <definedName name="wrn.voucher9703." hidden="1">{#N/A,#N/A,FALSE,"970301";#N/A,#N/A,FALSE,"970302";#N/A,#N/A,FALSE,"970303";#N/A,#N/A,FALSE,"970304";#N/A,#N/A,FALSE,"COM1";#N/A,#N/A,FALSE,"COM2"}</definedName>
    <definedName name="wrn.work._.rev._.sal._.uss." hidden="1">{"work rev sal uss",#N/A,TRUE,"WORKSHEET REV &amp; SAL"}</definedName>
    <definedName name="wrn.Work._.sal._.RS." hidden="1">{"WORK REV SAL R$",#N/A,TRUE,"WORKSHEET REV &amp; SAL"}</definedName>
    <definedName name="wrn.working." hidden="1">{#N/A,#N/A,FALSE,"TB";#N/A,#N/A,FALSE,"Ex diff";#N/A,#N/A,FALSE,"RECON.";#N/A,#N/A,FALSE,"NET USD";#N/A,#N/A,FALSE,"182011-LV";#N/A,#N/A,FALSE,"bank";#N/A,#N/A,FALSE,"Creditor";#N/A,#N/A,FALSE,"Debtor";#N/A,#N/A,FALSE,"HOLDPAY";#N/A,#N/A,FALSE,"014"}</definedName>
    <definedName name="wrn.x." hidden="1">{#N/A,#N/A,FALSE,"ENCO R63";#N/A,#N/A,FALSE,"ENCO"}</definedName>
    <definedName name="wrn.ytd." hidden="1">{#N/A,#N/A,FALSE,"YTD"}</definedName>
    <definedName name="wrn.zhinesePartner." hidden="1">{#N/A,#N/A,FALSE,"BS";#N/A,#N/A,FALSE,"P&amp;L"}</definedName>
    <definedName name="wrn.第1個月1至20人." hidden="1">{#N/A,#N/A,FALSE,"第1個月"}</definedName>
    <definedName name="wrn.负债及权益." hidden="1">{"负债及权益",#N/A,FALSE,"TB-BS"}</definedName>
    <definedName name="wrn.課別印刷." hidden="1">{"東京樹脂営業部",#N/A,FALSE,"HINHKA";"大阪樹脂営業部",#N/A,FALSE,"HINHKA"}</definedName>
    <definedName name="wrn.现金." hidden="1">{"现金主表",#N/A,FALSE,"正式Cashflow"}</definedName>
    <definedName name="wrn.现金主表." hidden="1">{"现金主表",#N/A,FALSE,"正式Cashflow"}</definedName>
    <definedName name="wrn.资产." hidden="1">{"资产",#N/A,FALSE,"TB-BS"}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hidden="1">{#N/A,#N/A,FALSE,"단축1";#N/A,#N/A,FALSE,"단축2";#N/A,#N/A,FALSE,"단축3";#N/A,#N/A,FALSE,"장축";#N/A,#N/A,FALSE,"4WD"}</definedName>
    <definedName name="wrn1.summi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wrn1.tigertax." hidden="1">{#N/A,#N/A,FALSE,"TAXC.INDEX";#N/A,#N/A,FALSE,"Schedule I";#N/A,#N/A,FALSE,"Schedule  II";#N/A,#N/A,FALSE,"Schedule III"}</definedName>
    <definedName name="wrna" hidden="1">{#N/A,#N/A,FALSE,"Index";#N/A,#N/A,FALSE,"Comments CIG";#N/A,#N/A,FALSE,"Comments IDEN";#N/A,#N/A,FALSE,"BS CIG";#N/A,#N/A,FALSE,"BS IDEN";#N/A,#N/A,FALSE,"P&amp;L CIG";#N/A,#N/A,FALSE,"P&amp;L FWT";#N/A,#N/A,FALSE,"P&amp;L IDEN";#N/A,#N/A,FALSE,"Cash Flow CIG";#N/A,#N/A,FALSE,"Cash Flow IDEN";#N/A,#N/A,FALSE,"MBR CIG";#N/A,#N/A,FALSE,"MBR iDEN";#N/A,#N/A,FALSE,"MBR_FWT";#N/A,#N/A,FALSE,"Headcount CIG";#N/A,#N/A,FALSE,"Headcount iDEN";#N/A,#N/A,FALSE,"FAB UN IDEN";#N/A,#N/A,FALSE,"FAB UN FWT";#N/A,#N/A,FALSE,"CIG MFG";#N/A,#N/A,FALSE,"IDEN MFG";#N/A,#N/A,FALSE,"IDEN 6-Up Charts  ";#N/A,#N/A,FALSE,"FWT MFG";#N/A,#N/A,FALSE,"FWT 6-Up Charts ";#N/A,#N/A,FALSE,"IDEN Inventory";#N/A,#N/A,FALSE,"CIG Inventory";#N/A,#N/A,FALSE,"Capital Expenditures";#N/A,#N/A,FALSE,"FM CIG";#N/A,#N/A,FALSE,"NSAD ASP CIG";#N/A,#N/A,FALSE,"FM iDEN";#N/A,#N/A,FALSE,"NSAD IDEN";#N/A,#N/A,FALSE,"IDEN Mrg Analysis";#N/A,#N/A,FALSE,"R&amp;D  Report";#N/A,#N/A,FALSE,"Mrg A. iDEN"}</definedName>
    <definedName name="wrnc" hidden="1">{#N/A,#N/A,FALSE,"Comments PCS";#N/A,#N/A,FALSE,"BS PCS";#N/A,#N/A,FALSE,"P&amp;L PCS";#N/A,#N/A,FALSE,"Cash Flow PCS";#N/A,#N/A,FALSE,"MBR PCS";#N/A,#N/A,FALSE,"Headcount PCS";#N/A,#N/A,FALSE,"FAB UN CSG ";#N/A,#N/A,FALSE,"FAB UN PPG";#N/A,#N/A,FALSE,"CSS MFG";#N/A,#N/A,FALSE,"CSS Distr";#N/A,#N/A,FALSE,"CSG 6-Up Charts";#N/A,#N/A,FALSE,"PCS Inventory";#N/A,#N/A,FALSE,"Capital Expenditures";#N/A,#N/A,FALSE,"FM CSG";#N/A,#N/A,FALSE,"NSAD ASP CGS";#N/A,#N/A,FALSE,"R&amp;D  Report";#N/A,#N/A,FALSE,"CSG Mrg Analysis";#N/A,#N/A,FALSE,"PCS Credit"}</definedName>
    <definedName name="wrne" hidden="1">{#N/A,#N/A,FALSE,"Headcount_PCS ";#N/A,#N/A,FALSE,"Headcount CIG";#N/A,#N/A,FALSE,"Headcount iDEN";#N/A,#N/A,FALSE,"JAG PLANT TREND"}</definedName>
    <definedName name="wrnn.all." hidden="1">{#N/A,#N/A,FALSE,"SUM";#N/A,#N/A,FALSE,"SK_TOT";#N/A,#N/A,FALSE,"YM";#N/A,#N/A,FALSE,"TSMC";#N/A,#N/A,FALSE,"ICW";#N/A,#N/A,FALSE,"Sheet1"}</definedName>
    <definedName name="wvcd" hidden="1">{#N/A,#N/A,FALSE,"1321";#N/A,#N/A,FALSE,"1324";#N/A,#N/A,FALSE,"1333";#N/A,#N/A,FALSE,"1371"}</definedName>
    <definedName name="wvu.Print_Todo." hidden="1">{TRUE,TRUE,-1.25,-15.5,484.5,276.75,FALSE,TRUE,TRUE,TRUE,0,1,1,300,1,1.96296296296296,1.15384615384615,4,TRUE,TRUE,3,TRUE,1,FALSE,75,"Swvu.Print_Todo.","ACwvu.Print_Todo.",#N/A,FALSE,FALSE,0,0,0,0,2,"","",FALSE,FALSE,TRUE,FALSE,1,#N/A,2,10,"=R1C1:R636C40",FALSE,#N/A,#N/A,FALSE,FALSE,FALSE,9,300,300,FALSE,TRUE,TRUE,TRUE,TRUE}</definedName>
    <definedName name="wvu.Socios._.95." hidden="1">{TRUE,TRUE,-1.25,-15.5,484.5,276.75,FALSE,TRUE,TRUE,TRUE,0,1,#N/A,1,#N/A,6.625,18.0588235294118,1,FALSE,FALSE,3,TRUE,1,FALSE,100,"Swvu.Socios._.95.","ACwvu.Socios._.95.",#N/A,FALSE,FALSE,0.78740157480315,0.78740157480315,0.984251968503937,0.984251968503937,2,"","&amp;L&amp;F&amp;C&amp;A&amp;R&amp;D",TRUE,FALSE,FALSE,FALSE,1,#N/A,1,1,"=R1C1:R14C15",FALSE,#N/A,"Cwvu.Socios._.95.",FALSE,FALSE,FALSE,9,65532,65532,FALSE,FALSE,TRUE,TRUE,TRUE}</definedName>
    <definedName name="wwww" hidden="1">{#N/A,#N/A,FALSE,"DIR-REP";#N/A,#N/A,FALSE,"AUD-REPORT";#N/A,#N/A,FALSE,"P7L&amp;BS";#N/A,#N/A,FALSE,"NOTES";#N/A,#N/A,FALSE,"FA";#N/A,#N/A,FALSE,"NOTES (2)";#N/A,#N/A,FALSE,"Schedule  IV";#N/A,#N/A,FALSE,"Schedule V"}</definedName>
    <definedName name="X980210_payment_printing_List">#REF!</definedName>
    <definedName name="xa" hidden="1">{"'毛利比较'!$A$4:$P$26"}</definedName>
    <definedName name="XAP" hidden="1">#REF!</definedName>
    <definedName name="XAQ" hidden="1">#REF!</definedName>
    <definedName name="xay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xc" hidden="1">{#N/A,#N/A,TRUE,"COVER";#N/A,#N/A,TRUE,"DIR";#N/A,#N/A,TRUE,"AUDIT"}</definedName>
    <definedName name="XCD" hidden="1">#REF!</definedName>
    <definedName name="XCER" hidden="1">#REF!</definedName>
    <definedName name="xckt" hidden="1">{#N/A,#N/A,FALSE,"DIR-REP";#N/A,#N/A,FALSE,"AUD-REPORT";#N/A,#N/A,FALSE,"P7L&amp;BS";#N/A,#N/A,FALSE,"NOTES";#N/A,#N/A,FALSE,"FA";#N/A,#N/A,FALSE,"NOTES (2)";#N/A,#N/A,FALSE,"Schedule  IV";#N/A,#N/A,FALSE,"Schedule V"}</definedName>
    <definedName name="xcvzxcvcx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xd" hidden="1">{"'毛利比较'!$A$4:$P$26"}</definedName>
    <definedName name="XDS" hidden="1">{#N/A,#N/A,FALSE,"을지 (4)";#N/A,#N/A,FALSE,"을지 (5)";#N/A,#N/A,FALSE,"을지 (6)"}</definedName>
    <definedName name="xeas" hidden="1">{#N/A,#N/A,FALSE,"TAXC.INDEX";#N/A,#N/A,FALSE,"Schedule I";#N/A,#N/A,FALSE,"Schedule  II";#N/A,#N/A,FALSE,"Schedule III"}</definedName>
    <definedName name="xlst" hidden="1">{#N/A,#N/A,FALSE,"DIR-REP";#N/A,#N/A,FALSE,"AUD-REPORT";#N/A,#N/A,FALSE,"P7L&amp;BS";#N/A,#N/A,FALSE,"NOTES";#N/A,#N/A,FALSE,"FA";#N/A,#N/A,FALSE,"NOTES (2)";#N/A,#N/A,FALSE,"Schedule  IV";#N/A,#N/A,FALSE,"Schedule V"}</definedName>
    <definedName name="xoct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od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xog" hidden="1">{#N/A,#N/A,FALSE,"DIR-REP";#N/A,#N/A,FALSE,"AUD-REPORT";#N/A,#N/A,FALSE,"P7L&amp;BS";#N/A,#N/A,FALSE,"NOTES";#N/A,#N/A,FALSE,"FA";#N/A,#N/A,FALSE,"NOTES (2)";#N/A,#N/A,FALSE,"Schedule  IV";#N/A,#N/A,FALSE,"Schedule V"}</definedName>
    <definedName name="xotlsl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ptl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XRED" hidden="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6" hidden="1">#REF!</definedName>
    <definedName name="XREF_COLUMN_27" hidden="1">#REF!</definedName>
    <definedName name="XREF_COLUMN_28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4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Row" hidden="1">#REF!</definedName>
    <definedName name="XRefCopy28" hidden="1">#REF!</definedName>
    <definedName name="XRefCopy28Row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Row" hidden="1">#REF!</definedName>
    <definedName name="XRefCopy59Row" hidden="1">#REF!</definedName>
    <definedName name="XRefCopy5Row" hidden="1">#REF!</definedName>
    <definedName name="XRefCopy6" hidden="1">#REF!</definedName>
    <definedName name="XRefCopy60Row" hidden="1">#REF!</definedName>
    <definedName name="XRefCopy61Row" hidden="1">#REF!</definedName>
    <definedName name="XRefCopy62Row" hidden="1">#REF!</definedName>
    <definedName name="XRefCopy63Row" hidden="1">#REF!</definedName>
    <definedName name="XRefCopy64Row" hidden="1">#REF!</definedName>
    <definedName name="XRefCopy65Row" hidden="1">#REF!</definedName>
    <definedName name="XRefCopy66Row" hidden="1">#REF!</definedName>
    <definedName name="XRefCopy67Row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2Row" hidden="1">#REF!</definedName>
    <definedName name="XRefCopy87" hidden="1">#REF!</definedName>
    <definedName name="XRefCopy87Row" hidden="1">#REF!</definedName>
    <definedName name="XRefCopy88" hidden="1">#REF!</definedName>
    <definedName name="XRefCopy88Row" hidden="1">#REF!</definedName>
    <definedName name="XRefCopy89" hidden="1">#REF!</definedName>
    <definedName name="XRefCopy89Row" hidden="1">#REF!</definedName>
    <definedName name="XRefCopy8Row" hidden="1">#REF!</definedName>
    <definedName name="XRefCopy9" hidden="1">#REF!</definedName>
    <definedName name="XRefCopy91Row" hidden="1">#REF!</definedName>
    <definedName name="XRefCopy9Row" hidden="1">#REF!</definedName>
    <definedName name="XRefCopyRangeCount" hidden="1">10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0" hidden="1">#REF!</definedName>
    <definedName name="XRefPaste40Row" hidden="1">#REF!</definedName>
    <definedName name="XRefPaste41" hidden="1">#REF!</definedName>
    <definedName name="XRefPaste41Row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" hidden="1">#REF!</definedName>
    <definedName name="XRefPaste44Row" hidden="1">#REF!</definedName>
    <definedName name="XRefPaste45" hidden="1">#REF!</definedName>
    <definedName name="XRefPaste45Row" hidden="1">#REF!</definedName>
    <definedName name="XRefPaste46Row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0Row" hidden="1">#REF!</definedName>
    <definedName name="XRefPaste51" hidden="1">#REF!</definedName>
    <definedName name="XRefPaste51Row" hidden="1">#REF!</definedName>
    <definedName name="XRefPaste52" hidden="1">#REF!</definedName>
    <definedName name="XRefPaste52Row" hidden="1">#REF!</definedName>
    <definedName name="XRefPaste53Row" hidden="1">#REF!</definedName>
    <definedName name="XRefPaste54Row" hidden="1">#REF!</definedName>
    <definedName name="XRefPaste55Row" hidden="1">#REF!</definedName>
    <definedName name="XRefPaste56Row" hidden="1">#REF!</definedName>
    <definedName name="XRefPaste57Row" hidden="1">#REF!</definedName>
    <definedName name="XRefPaste58Row" hidden="1">#REF!</definedName>
    <definedName name="XRefPaste59Row" hidden="1">#REF!</definedName>
    <definedName name="XRefPaste5Row" hidden="1">#REF!</definedName>
    <definedName name="XRefPaste6" hidden="1">#REF!</definedName>
    <definedName name="XRefPaste60Row" hidden="1">#REF!</definedName>
    <definedName name="XRefPaste61Row" hidden="1">#REF!</definedName>
    <definedName name="XRefPaste62Row" hidden="1">#REF!</definedName>
    <definedName name="XRefPaste63Row" hidden="1">#REF!</definedName>
    <definedName name="XRefPaste64Row" hidden="1">#REF!</definedName>
    <definedName name="XRefPaste65Row" hidden="1">#REF!</definedName>
    <definedName name="XRefPaste68" hidden="1">#REF!</definedName>
    <definedName name="XRefPaste6Row" hidden="1">#REF!</definedName>
    <definedName name="XRefPaste7" hidden="1">#REF!</definedName>
    <definedName name="XRefPaste70Row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6</definedName>
    <definedName name="XS" hidden="1">{#N/A,#N/A,FALSE,"을지 (4)";#N/A,#N/A,FALSE,"을지 (5)";#N/A,#N/A,FALSE,"을지 (6)"}</definedName>
    <definedName name="xv" hidden="1">{#N/A,#N/A,FALSE,"DIR-REP";#N/A,#N/A,FALSE,"AUD-REPORT";#N/A,#N/A,FALSE,"P7L&amp;BS";#N/A,#N/A,FALSE,"NOTES";#N/A,#N/A,FALSE,"FA";#N/A,#N/A,FALSE,"NOTES (2)";#N/A,#N/A,FALSE,"Schedule  IV";#N/A,#N/A,FALSE,"Schedule V"}</definedName>
    <definedName name="xw" hidden="1">{"'毛利比较'!$A$4:$P$26"}</definedName>
    <definedName name="xxes" hidden="1">{#N/A,#N/A,FALSE,"TB";#N/A,#N/A,FALSE,"DR";#N/A,#N/A,FALSE,"AR";#N/A,#N/A,FALSE,"BS";#N/A,#N/A,FALSE,"PL";#N/A,#N/A,FALSE,"NOTES";#N/A,#N/A,FALSE,"NOTES (2)";#N/A,#N/A,FALSE,"NOTES (3)";#N/A,#N/A,FALSE,"DPL";#N/A,#N/A,FALSE,"DPL"}</definedName>
    <definedName name="xxxxxxx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xxxxxxxxxxxxxxxx" hidden="1">{#N/A,#N/A,TRUE,"assumtions";#N/A,#N/A,TRUE,"CF";#N/A,#N/A,TRUE,"BS";#N/A,#N/A,TRUE,"P&amp;L";#N/A,#N/A,TRUE,"BEP";#N/A,#N/A,TRUE,"CapEx, Depr, Bookvalues";#N/A,#N/A,TRUE,"R65";#N/A,#N/A,TRUE,"Labor";#N/A,#N/A,TRUE,"PG1";#N/A,#N/A,TRUE,"R380";#N/A,#N/A,TRUE,"TTL";#N/A,#N/A,TRUE,"P&amp;L Purchase";#N/A,#N/A,TRUE,"balance sheet";#N/A,#N/A,TRUE,"Multiples";#N/A,#N/A,TRUE,"volume";#N/A,#N/A,TRUE,"balance sheet"}</definedName>
    <definedName name="xxxxxxxxxxxxxxxxxxxx" hidden="1">{#N/A,#N/A,TRUE,"CF";#N/A,#N/A,TRUE,"BS";#N/A,#N/A,TRUE,"P&amp;L";#N/A,#N/A,TRUE,"R65";#N/A,#N/A,TRUE,"Labor";#N/A,#N/A,TRUE,"CapEx, Depr, Bookvalues";#N/A,#N/A,TRUE,"assumtions"}</definedName>
    <definedName name="xxxxxy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xzcxcxzcxc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xzxsfd" hidden="1">{"M1Print",#N/A,FALSE,"M1"}</definedName>
    <definedName name="y" hidden="1">{"'W.W. Summary'!$A$1:$K$37"}</definedName>
    <definedName name="y1hs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yay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yu" hidden="1">{"'毛利比较'!$A$4:$P$26"}</definedName>
    <definedName name="yui" hidden="1">{"'毛利比较'!$A$4:$P$26"}</definedName>
    <definedName name="yuiy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yuj" hidden="1">{"'毛利比较'!$A$4:$P$26"}</definedName>
    <definedName name="Z_1711050D_B2D8_42FB_A40D_E4BD90297684_.wvu.Cols" hidden="1">#REF!,#REF!,#REF!,#REF!,#REF!</definedName>
    <definedName name="Z_33376133_CFCA_11D4_9FDE_000103021132_.wvu.Rows" hidden="1">#REF!</definedName>
    <definedName name="Z_475A6E78_5052_4618_981E_0E1DDEF1C8DA_.wvu.Cols" hidden="1">#REF!</definedName>
    <definedName name="Z_495E7CBA_2E87_11D6_BE45_0060972F80E4_.wvu.Cols" hidden="1">#REF!,#REF!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5E285FFD_4B60_11D6_B481_00805F9BDB1E_.wvu.Cols" hidden="1">#REF!,#REF!,#REF!</definedName>
    <definedName name="Z_65726B72_CEFC_11D4_AA53_00010301C464_.wvu.Rows" hidden="1">#REF!</definedName>
    <definedName name="Z_677C6337_708E_11D3_B400_0000E21227E8_.wvu.Rows" hidden="1">#N/A</definedName>
    <definedName name="Z_6B3AA822_3042_11D7_8187_0060972BE2C8_.wvu.Cols" hidden="1">#REF!,#REF!</definedName>
    <definedName name="Z_6D0F53EE_19FD_438B_BDE2_46C019EC4A8E_.wvu.Cols" hidden="1">#REF!,#REF!</definedName>
    <definedName name="Z_70ACAE61_1F25_11D3_B062_00104BC637D4_.wvu.Cols" hidden="1">#REF!</definedName>
    <definedName name="Z_70ACAE61_1F25_11D3_B062_00104BC637D4_.wvu.PrintArea" hidden="1">#REF!</definedName>
    <definedName name="Z_70ACAE61_1F25_11D3_B062_00104BC637D4_.wvu.PrintTitles" hidden="1">#REF!</definedName>
    <definedName name="Z_7AF9055E_0655_4111_A637_B53B24197F3F_.wvu.Rows" hidden="1">#REF!</definedName>
    <definedName name="Z_8131B9F3_64F3_472C_9042_E1CE8746ABF7_.wvu.Cols" hidden="1">#REF!,#REF!</definedName>
    <definedName name="Z_85A12121_AAAA_11D6_BB1C_0060972BE34F_.wvu.Rows" hidden="1">#REF!,#REF!</definedName>
    <definedName name="Z_A292BF87_749E_11D7_84D6_00E04C390059_.wvu.Cols" hidden="1">#REF!,#REF!</definedName>
    <definedName name="Z_C00E0055_D79E_11D4_84AD_00D0B7B3CB09_.wvu.Rows" hidden="1">#REF!</definedName>
    <definedName name="Z_C0A66260_2EBB_11D6_BB1C_0060972BE34F_.wvu.Rows" hidden="1">#REF!,#REF!,#REF!,#REF!,#REF!,#REF!,#REF!,#REF!,#REF!</definedName>
    <definedName name="Z_C31C03AD_4257_11D7_BB1C_0060972BE34F_.wvu.PrintArea" hidden="1">#REF!</definedName>
    <definedName name="Z_C31C03AD_4257_11D7_BB1C_0060972BE34F_.wvu.Rows" hidden="1">#REF!,#REF!,#REF!,#REF!,#REF!,#REF!,#REF!,#REF!</definedName>
    <definedName name="Z_CB0E8320_907C_11D8_8F9A_003018607B51_.wvu.Cols" hidden="1">#REF!</definedName>
    <definedName name="Z_CD1EF642_673E_11D6_AC8F_0060972D822A_.wvu.Col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E99C6561_9097_11D5_BB1C_4411FAC00000_.wvu.Cols" hidden="1">#REF!,#REF!</definedName>
    <definedName name="Z_EE864A8E_D629_4DA7_8301_C2F4DCB5D4E9_.wvu.Cols" hidden="1">#REF!</definedName>
    <definedName name="Z_EE864A8E_D629_4DA7_8301_C2F4DCB5D4E9_.wvu.FilterData" hidden="1">#REF!</definedName>
    <definedName name="Z_EE864A8E_D629_4DA7_8301_C2F4DCB5D4E9_.wvu.Rows" hidden="1">#REF!,#REF!</definedName>
    <definedName name="Z_FAE077AB_CC9F_11D7_84D6_00E04C390059_.wvu.Cols" hidden="1">#REF!,#REF!</definedName>
    <definedName name="zay" hidden="1">{#N/A,#N/A,FALSE,"DIR-REP";#N/A,#N/A,FALSE,"AUD-REPORT";#N/A,#N/A,FALSE,"P7L&amp;BS";#N/A,#N/A,FALSE,"NOTES";#N/A,#N/A,FALSE,"FA";#N/A,#N/A,FALSE,"NOTES (2)";#N/A,#N/A,FALSE,"Schedule  IV";#N/A,#N/A,FALSE,"Schedule V"}</definedName>
    <definedName name="ZI" hidden="1">#REF!</definedName>
    <definedName name="ziot" hidden="1">{#N/A,#N/A,FALSE,"CONTENTS";#N/A,#N/A,FALSE,"DR";#N/A,#N/A,FALSE,"PL";#N/A,#N/A,FALSE,"BS";#N/A,#N/A,FALSE,"Cash Flow";#N/A,#N/A,FALSE,"NOTES";#N/A,#N/A,FALSE,"NOTES (FA)";#N/A,#N/A,FALSE,"Notes(3)";#N/A,#N/A,FALSE,"NOTES (4)";#N/A,#N/A,FALSE,"DP&amp;L";#N/A,#N/A,FALSE,"EXPENSES";#N/A,#N/A,FALSE,"EXPENSES-1"}</definedName>
    <definedName name="zjoa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jpt" hidden="1">{#N/A,#N/A,FALSE,"TB";#N/A,#N/A,FALSE,"DR";#N/A,#N/A,FALSE,"AR";#N/A,#N/A,FALSE,"PL";#N/A,#N/A,FALSE,"BS";#N/A,#N/A,FALSE,"NOTES";#N/A,#N/A,FALSE,"NOTES (2)";#N/A,#N/A,FALSE,"NOTES (3)";#N/A,#N/A,FALSE,"DPL";#N/A,#N/A,FALSE,"TAXC.INDEX";#N/A,#N/A,FALSE,"Schedule I";#N/A,#N/A,FALSE,"Adjustments"}</definedName>
    <definedName name="zotnals.r" hidden="1">{#N/A,#N/A,FALSE,"TB";#N/A,#N/A,FALSE,"AR";#N/A,#N/A,FALSE,"BS";#N/A,#N/A,FALSE,"PL";#N/A,#N/A,FALSE,"NOTES";#N/A,#N/A,FALSE,"NOTES (2)";#N/A,#N/A,FALSE,"NOTES (3)";#N/A,#N/A,FALSE,"TAXC.INDEX";#N/A,#N/A,FALSE,"Schedule I";#N/A,#N/A,FALSE,"DPL";#N/A,#N/A,FALSE,"Schedule IV";#N/A,#N/A,FALSE,"Adjustments"}</definedName>
    <definedName name="zptls" hidden="1">{#N/A,#N/A,FALSE,"DIR-REP";#N/A,#N/A,FALSE,"AUD-REPORT";#N/A,#N/A,FALSE,"P7L&amp;BS";#N/A,#N/A,FALSE,"NOTES";#N/A,#N/A,FALSE,"FA";#N/A,#N/A,FALSE,"NOTES (2)";#N/A,#N/A,FALSE,"Schedule  IV";#N/A,#N/A,FALSE,"Schedule V"}</definedName>
    <definedName name="zw" hidden="1">#REF!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" hidden="1">{#N/A,#N/A,FALSE,"TAXC.INDEX";#N/A,#N/A,FALSE,"Schedule I";#N/A,#N/A,FALSE,"Schedule  II";#N/A,#N/A,FALSE,"Schedule III";#N/A,#N/A,FALSE,"Schedule IV";#N/A,#N/A,FALSE,"Schedule IV (Cont'd)";#N/A,#N/A,FALSE,"Schedule V";#N/A,#N/A,FALSE,"Schedule VI";#N/A,#N/A,FALSE,"Schedule VII"}</definedName>
    <definedName name="zzz2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zzzzz" hidden="1">{"Folie 3",#N/A,FALSE,"Jahresumsätze";"Folie 4",#N/A,FALSE,"Jahresumsätze";"Folie 5",#N/A,FALSE,"Jahresumsätze";"Folie 6",#N/A,FALSE,"Jahresumsätze";"Folie 7",#N/A,FALSE,"Jahresumsätze";"Folie 8",#N/A,FALSE,"Jahresumsätze"}</definedName>
    <definedName name="っｋ" hidden="1">#REF!</definedName>
    <definedName name="ㄱㅇ" hidden="1">{#N/A,#N/A,FALSE,"단축1";#N/A,#N/A,FALSE,"단축2";#N/A,#N/A,FALSE,"단축3";#N/A,#N/A,FALSE,"장축";#N/A,#N/A,FALSE,"4WD"}</definedName>
    <definedName name="啊撒" hidden="1">#REF!</definedName>
    <definedName name="杯面" hidden="1">{"'毛利比较'!$A$4:$P$26"}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成本差" hidden="1">#REF!</definedName>
    <definedName name="大" hidden="1">{#N/A,#N/A,FALSE,"COVER";#N/A,#N/A,FALSE,"0";#N/A,#N/A,FALSE,"1";#N/A,#N/A,FALSE,"2";#N/A,#N/A,FALSE,"3";#N/A,#N/A,FALSE,"4";#N/A,#N/A,FALSE,"5";#N/A,#N/A,FALSE,"6";#N/A,#N/A,FALSE,"7";#N/A,#N/A,FALSE,"8";#N/A,#N/A,FALSE,"9";#N/A,#N/A,FALSE,"10";#N/A,#N/A,FALSE,"11"}</definedName>
    <definedName name="大案要案" hidden="1">#REF!</definedName>
    <definedName name="大大" hidden="1">#REF!</definedName>
    <definedName name="大工业" hidden="1">#REF!</definedName>
    <definedName name="饿" hidden="1">#REF!</definedName>
    <definedName name="发挥" hidden="1">#REF!</definedName>
    <definedName name="哈哈" hidden="1">#REF!</definedName>
    <definedName name="好滋味折价券" hidden="1">#REF!</definedName>
    <definedName name="好滋味折价券拍发" hidden="1">#REF!</definedName>
    <definedName name="好滋味折价券总结" hidden="1">#REF!</definedName>
    <definedName name="活动总结" hidden="1">#REF!</definedName>
    <definedName name="吉林高校好滋味折价券派发总结" hidden="1">#REF!</definedName>
    <definedName name="見積り条件書新" hidden="1">#REF!</definedName>
    <definedName name="结论" hidden="1">#REF!</definedName>
    <definedName name="借款" hidden="1">{#N/A,#N/A,FALSE,"970301";#N/A,#N/A,FALSE,"970302";#N/A,#N/A,FALSE,"970303";#N/A,#N/A,FALSE,"970304";#N/A,#N/A,FALSE,"COM1";#N/A,#N/A,FALSE,"COM2"}</definedName>
    <definedName name="劲拉面推广计划直营" hidden="1">#REF!</definedName>
    <definedName name="竞品动态2" hidden="1">#REF!</definedName>
    <definedName name="竟品" hidden="1">#REF!</definedName>
    <definedName name="淨額差" hidden="1">#REF!</definedName>
    <definedName name="决" hidden="1">#REF!</definedName>
    <definedName name="苛" hidden="1">{"M1sPrint",#N/A,FALSE,"M1s"}</definedName>
    <definedName name="科目余额表">#REF!</definedName>
    <definedName name="枯" hidden="1">#REF!</definedName>
    <definedName name="庫存成" hidden="1">#REF!</definedName>
    <definedName name="瑁" hidden="1">#REF!</definedName>
    <definedName name="明细分类账">#REF!</definedName>
    <definedName name="木" hidden="1">#REF!</definedName>
    <definedName name="南平所直营TP计划" hidden="1">#REF!</definedName>
    <definedName name="片区11" hidden="1">"391HRTDB98QD1QBGCU8ZVRO45"</definedName>
    <definedName name="骗取" hidden="1">#REF!</definedName>
    <definedName name="铺货率" hidden="1">#REF!</definedName>
    <definedName name="前往" hidden="1">{#N/A,#N/A,FALSE,"OffAdvance";#N/A,#N/A,FALSE,"OffExpRprt";#N/A,#N/A,FALSE,"Entertmnt";#N/A,#N/A,FALSE,"Promotion";#N/A,#N/A,FALSE,"Travelling"}</definedName>
    <definedName name="青岛" hidden="1">#REF!</definedName>
    <definedName name="趨勢" hidden="1">#REF!</definedName>
    <definedName name="人" hidden="1">"0GTPZTEZ49KDNESTCDFNZA640"</definedName>
    <definedName name="人脞" hidden="1">#REF!</definedName>
    <definedName name="入力済" hidden="1">{"MonthlyRentRoll",#N/A,FALSE,"RentRoll"}</definedName>
    <definedName name="로커커버" hidden="1">{#N/A,#N/A,FALSE,"단축1";#N/A,#N/A,FALSE,"단축2";#N/A,#N/A,FALSE,"단축3";#N/A,#N/A,FALSE,"장축";#N/A,#N/A,FALSE,"4WD"}</definedName>
    <definedName name="上期" hidden="1">#REF!</definedName>
    <definedName name="上期2" hidden="1">#REF!</definedName>
    <definedName name="试验" hidden="1">{#N/A,#N/A,FALSE,"OffAdvance";#N/A,#N/A,FALSE,"OffExpRprt";#N/A,#N/A,FALSE,"Travelling";#N/A,#N/A,FALSE,"Entertmnt";#N/A,#N/A,FALSE,"Promotion"}</definedName>
    <definedName name="是是" hidden="1">#REF!</definedName>
    <definedName name="双职工" hidden="1">#REF!</definedName>
    <definedName name="ㅀ미리밀ㅎ밈림" hidden="1">{#N/A,#N/A,FALSE,"을지 (4)";#N/A,#N/A,FALSE,"을지 (5)";#N/A,#N/A,FALSE,"을지 (6)"}</definedName>
    <definedName name="桶碗" hidden="1">{"'毛利比较'!$A$4:$P$26"}</definedName>
    <definedName name="挖出" hidden="1">#REF!</definedName>
    <definedName name="我" hidden="1">#REF!</definedName>
    <definedName name="西" hidden="1">#REF!</definedName>
    <definedName name="西安" hidden="1">#REF!</definedName>
    <definedName name="西安1" hidden="1">#REF!</definedName>
    <definedName name="西安2" hidden="1">#REF!</definedName>
    <definedName name="香菇" hidden="1">{"'毛利比较'!$A$4:$P$26"}</definedName>
    <definedName name="消费者推广" hidden="1">#REF!</definedName>
    <definedName name="学习" hidden="1">#REF!</definedName>
    <definedName name="血吸虫" hidden="1">#REF!</definedName>
    <definedName name="已05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민총2" hidden="1">{#N/A,#N/A,FALSE,"을지 (4)";#N/A,#N/A,FALSE,"을지 (5)";#N/A,#N/A,FALSE,"을지 (6)"}</definedName>
    <definedName name="杂" hidden="1">#REF!</definedName>
    <definedName name="在职" hidden="1">#REF!</definedName>
    <definedName name="正确" hidden="1">{"'毛利比较'!$A$4:$P$26"}</definedName>
    <definedName name="볼트수정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양식" hidden="1">#REF!</definedName>
    <definedName name="오" hidden="1">{#N/A,#N/A,FALSE,"단축1";#N/A,#N/A,FALSE,"단축2";#N/A,#N/A,FALSE,"단축3";#N/A,#N/A,FALSE,"장축";#N/A,#N/A,FALSE,"4WD"}</definedName>
    <definedName name="유재성" hidden="1">#REF!</definedName>
    <definedName name="중앙" hidden="1">{#N/A,#N/A,FALSE,"단축1";#N/A,#N/A,FALSE,"단축2";#N/A,#N/A,FALSE,"단축3";#N/A,#N/A,FALSE,"장축";#N/A,#N/A,FALSE,"4WD"}</definedName>
    <definedName name="지나" hidden="1">#REF!</definedName>
    <definedName name="키프코" hidden="1">{#N/A,#N/A,FALSE,"을지 (4)";#N/A,#N/A,FALSE,"을지 (5)";#N/A,#N/A,FALSE,"을지 (6)"}</definedName>
    <definedName name="한총2" hidden="1">{#N/A,#N/A,FALSE,"을지 (4)";#N/A,#N/A,FALSE,"을지 (5)";#N/A,#N/A,FALSE,"을지 (6)"}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4" l="1"/>
  <c r="D31" i="4"/>
  <c r="E31" i="4"/>
  <c r="F31" i="4"/>
  <c r="G31" i="4"/>
  <c r="H31" i="4"/>
  <c r="I31" i="4"/>
  <c r="J31" i="4"/>
  <c r="K31" i="4"/>
  <c r="L31" i="4"/>
  <c r="C32" i="4"/>
  <c r="D32" i="4"/>
  <c r="E32" i="4"/>
  <c r="F32" i="4"/>
  <c r="G32" i="4"/>
  <c r="H32" i="4"/>
  <c r="I32" i="4"/>
  <c r="J32" i="4"/>
  <c r="K32" i="4"/>
  <c r="L32" i="4"/>
  <c r="C33" i="4"/>
  <c r="D33" i="4"/>
  <c r="E33" i="4"/>
  <c r="F33" i="4"/>
  <c r="G33" i="4"/>
  <c r="H33" i="4"/>
  <c r="I33" i="4"/>
  <c r="J33" i="4"/>
  <c r="K33" i="4"/>
  <c r="L33" i="4"/>
  <c r="E4" i="2"/>
  <c r="E5" i="2"/>
  <c r="E6" i="2"/>
  <c r="E7" i="2"/>
  <c r="E8" i="2"/>
  <c r="E9" i="2"/>
  <c r="E10" i="2"/>
  <c r="E11" i="2"/>
  <c r="E12" i="2"/>
  <c r="E13" i="2"/>
  <c r="E14" i="2"/>
  <c r="E3" i="2"/>
  <c r="C30" i="4"/>
  <c r="D30" i="4"/>
  <c r="E30" i="4"/>
  <c r="F30" i="4"/>
  <c r="G30" i="4"/>
  <c r="H30" i="4"/>
  <c r="I30" i="4"/>
  <c r="J30" i="4"/>
  <c r="K30" i="4"/>
  <c r="L30" i="4"/>
  <c r="C34" i="4"/>
  <c r="D34" i="4"/>
  <c r="E34" i="4"/>
  <c r="F34" i="4"/>
  <c r="G34" i="4"/>
  <c r="H34" i="4"/>
  <c r="I34" i="4"/>
  <c r="J34" i="4"/>
  <c r="K34" i="4"/>
  <c r="L34" i="4"/>
  <c r="C35" i="4"/>
  <c r="D35" i="4"/>
  <c r="E35" i="4"/>
  <c r="F35" i="4"/>
  <c r="G35" i="4"/>
  <c r="H35" i="4"/>
  <c r="I35" i="4"/>
  <c r="J35" i="4"/>
  <c r="K35" i="4"/>
  <c r="L35" i="4"/>
  <c r="D21" i="4"/>
  <c r="C27" i="4"/>
  <c r="D27" i="4"/>
  <c r="E27" i="4"/>
  <c r="F27" i="4"/>
  <c r="G27" i="4"/>
  <c r="H27" i="4"/>
  <c r="I27" i="4"/>
  <c r="J27" i="4"/>
  <c r="K27" i="4"/>
  <c r="L27" i="4"/>
  <c r="C28" i="4"/>
  <c r="D28" i="4"/>
  <c r="E28" i="4"/>
  <c r="F28" i="4"/>
  <c r="G28" i="4"/>
  <c r="H28" i="4"/>
  <c r="I28" i="4"/>
  <c r="J28" i="4"/>
  <c r="K28" i="4"/>
  <c r="L28" i="4"/>
  <c r="C29" i="4"/>
  <c r="D29" i="4"/>
  <c r="E29" i="4"/>
  <c r="F29" i="4"/>
  <c r="G29" i="4"/>
  <c r="H29" i="4"/>
  <c r="I29" i="4"/>
  <c r="J29" i="4"/>
  <c r="K29" i="4"/>
  <c r="L29" i="4"/>
  <c r="F26" i="4"/>
  <c r="I26" i="4"/>
  <c r="L26" i="4"/>
  <c r="K26" i="4"/>
  <c r="J26" i="4"/>
  <c r="H26" i="4"/>
  <c r="G26" i="4"/>
  <c r="E26" i="4"/>
  <c r="D26" i="4"/>
  <c r="C26" i="4"/>
  <c r="H6" i="4"/>
  <c r="I6" i="4"/>
  <c r="J6" i="4"/>
  <c r="K6" i="4"/>
  <c r="L6" i="4"/>
  <c r="M6" i="4"/>
  <c r="N6" i="4"/>
  <c r="O6" i="4"/>
  <c r="P6" i="4"/>
  <c r="H7" i="4"/>
  <c r="I7" i="4"/>
  <c r="J7" i="4"/>
  <c r="K7" i="4"/>
  <c r="L7" i="4"/>
  <c r="M7" i="4"/>
  <c r="N7" i="4"/>
  <c r="O7" i="4"/>
  <c r="P7" i="4"/>
  <c r="H8" i="4"/>
  <c r="I8" i="4"/>
  <c r="J8" i="4"/>
  <c r="K8" i="4"/>
  <c r="L8" i="4"/>
  <c r="M8" i="4"/>
  <c r="N8" i="4"/>
  <c r="O8" i="4"/>
  <c r="P8" i="4"/>
  <c r="H9" i="4"/>
  <c r="I9" i="4"/>
  <c r="J9" i="4"/>
  <c r="K9" i="4"/>
  <c r="L9" i="4"/>
  <c r="M9" i="4"/>
  <c r="N9" i="4"/>
  <c r="O9" i="4"/>
  <c r="P9" i="4"/>
  <c r="H10" i="4"/>
  <c r="I10" i="4"/>
  <c r="J10" i="4"/>
  <c r="K10" i="4"/>
  <c r="L10" i="4"/>
  <c r="M10" i="4"/>
  <c r="N10" i="4"/>
  <c r="O10" i="4"/>
  <c r="P10" i="4"/>
  <c r="H11" i="4"/>
  <c r="I11" i="4"/>
  <c r="J11" i="4"/>
  <c r="K11" i="4"/>
  <c r="L11" i="4"/>
  <c r="M11" i="4"/>
  <c r="N11" i="4"/>
  <c r="O11" i="4"/>
  <c r="P11" i="4"/>
  <c r="H12" i="4"/>
  <c r="I12" i="4"/>
  <c r="J12" i="4"/>
  <c r="K12" i="4"/>
  <c r="L12" i="4"/>
  <c r="M12" i="4"/>
  <c r="N12" i="4"/>
  <c r="O12" i="4"/>
  <c r="P12" i="4"/>
  <c r="H13" i="4"/>
  <c r="I13" i="4"/>
  <c r="J13" i="4"/>
  <c r="K13" i="4"/>
  <c r="L13" i="4"/>
  <c r="M13" i="4"/>
  <c r="N13" i="4"/>
  <c r="O13" i="4"/>
  <c r="P13" i="4"/>
  <c r="H14" i="4"/>
  <c r="I14" i="4"/>
  <c r="J14" i="4"/>
  <c r="K14" i="4"/>
  <c r="L14" i="4"/>
  <c r="M14" i="4"/>
  <c r="N14" i="4"/>
  <c r="O14" i="4"/>
  <c r="P14" i="4"/>
  <c r="H15" i="4"/>
  <c r="I15" i="4"/>
  <c r="J15" i="4"/>
  <c r="K15" i="4"/>
  <c r="L15" i="4"/>
  <c r="M15" i="4"/>
  <c r="N15" i="4"/>
  <c r="O15" i="4"/>
  <c r="P15" i="4"/>
  <c r="H16" i="4"/>
  <c r="I16" i="4"/>
  <c r="J16" i="4"/>
  <c r="K16" i="4"/>
  <c r="L16" i="4"/>
  <c r="M16" i="4"/>
  <c r="N16" i="4"/>
  <c r="O16" i="4"/>
  <c r="P16" i="4"/>
  <c r="P5" i="4"/>
  <c r="O5" i="4"/>
  <c r="N5" i="4"/>
  <c r="M5" i="4"/>
  <c r="L5" i="4"/>
  <c r="K5" i="4"/>
  <c r="J5" i="4"/>
  <c r="I5" i="4"/>
  <c r="H5" i="4"/>
  <c r="G6" i="4"/>
  <c r="G7" i="4"/>
  <c r="G8" i="4"/>
  <c r="G9" i="4"/>
  <c r="G10" i="4"/>
  <c r="G11" i="4"/>
  <c r="G12" i="4"/>
  <c r="G13" i="4"/>
  <c r="G14" i="4"/>
  <c r="G15" i="4"/>
  <c r="G16" i="4"/>
  <c r="G5" i="4"/>
  <c r="F16" i="4"/>
  <c r="S3" i="9"/>
  <c r="N21" i="4" l="1"/>
  <c r="H21" i="4"/>
  <c r="P21" i="4"/>
  <c r="I21" i="4"/>
  <c r="O21" i="4"/>
  <c r="J21" i="4"/>
  <c r="K21" i="4"/>
  <c r="G21" i="4"/>
  <c r="L21" i="4"/>
  <c r="M21" i="4"/>
  <c r="P4" i="9"/>
  <c r="H6" i="9" l="1"/>
  <c r="L4" i="9" l="1"/>
  <c r="S4" i="9" l="1"/>
  <c r="I6" i="9" l="1"/>
  <c r="L6" i="9" l="1"/>
  <c r="M6" i="9" s="1"/>
  <c r="P6" i="9" s="1"/>
  <c r="J6" i="9"/>
  <c r="J11" i="9" s="1"/>
  <c r="O11" i="9"/>
  <c r="F11" i="9"/>
  <c r="G11" i="9"/>
  <c r="H11" i="9"/>
  <c r="I11" i="9"/>
  <c r="K11" i="9"/>
  <c r="L5" i="9"/>
  <c r="M5" i="9" s="1"/>
  <c r="S5" i="9" s="1"/>
  <c r="L7" i="9"/>
  <c r="M7" i="9" s="1"/>
  <c r="S7" i="9" s="1"/>
  <c r="L8" i="9"/>
  <c r="S8" i="9" s="1"/>
  <c r="L9" i="9"/>
  <c r="M9" i="9" s="1"/>
  <c r="S9" i="9" s="1"/>
  <c r="L10" i="9"/>
  <c r="M10" i="9" s="1"/>
  <c r="L3" i="9"/>
  <c r="M3" i="9" s="1"/>
  <c r="P10" i="9" l="1"/>
  <c r="S10" i="9" s="1"/>
  <c r="P3" i="9"/>
  <c r="N11" i="9"/>
  <c r="P11" i="9" l="1"/>
  <c r="M11" i="9"/>
  <c r="L11" i="9"/>
  <c r="D36" i="4"/>
  <c r="E36" i="4"/>
  <c r="G36" i="4"/>
  <c r="H36" i="4"/>
  <c r="J36" i="4"/>
  <c r="K36" i="4"/>
  <c r="L36" i="4"/>
  <c r="C25" i="4"/>
  <c r="H25" i="4"/>
  <c r="Q11" i="9" l="1"/>
  <c r="S6" i="9"/>
  <c r="C36" i="4"/>
  <c r="P4" i="4" l="1"/>
  <c r="L25" i="4" s="1"/>
  <c r="O4" i="4"/>
  <c r="K25" i="4" s="1"/>
  <c r="K4" i="4"/>
  <c r="G25" i="4" s="1"/>
  <c r="I4" i="4"/>
  <c r="E25" i="4" s="1"/>
  <c r="H4" i="4"/>
  <c r="D25" i="4" s="1"/>
  <c r="C37" i="4" l="1"/>
  <c r="C2" i="4"/>
  <c r="Q5" i="4" l="1"/>
  <c r="Q6" i="4"/>
  <c r="Q7" i="4"/>
  <c r="Q8" i="4"/>
  <c r="Q16" i="4"/>
  <c r="Q10" i="4"/>
  <c r="Q15" i="4"/>
  <c r="Q9" i="4"/>
  <c r="Q11" i="4"/>
  <c r="Q13" i="4"/>
  <c r="Q14" i="4"/>
  <c r="Q12" i="4"/>
  <c r="E14" i="4" l="1"/>
  <c r="F14" i="4" s="1"/>
  <c r="E8" i="4"/>
  <c r="F8" i="4" s="1"/>
  <c r="E9" i="4"/>
  <c r="F9" i="4" s="1"/>
  <c r="E6" i="4"/>
  <c r="F6" i="4" s="1"/>
  <c r="E7" i="4"/>
  <c r="F7" i="4" s="1"/>
  <c r="E13" i="4"/>
  <c r="F13" i="4" s="1"/>
  <c r="E12" i="4"/>
  <c r="F12" i="4" s="1"/>
  <c r="E11" i="4"/>
  <c r="F11" i="4" s="1"/>
  <c r="E5" i="4"/>
  <c r="E15" i="4"/>
  <c r="F15" i="4" s="1"/>
  <c r="E10" i="4"/>
  <c r="F10" i="4" s="1"/>
  <c r="E21" i="4" l="1"/>
  <c r="F5" i="4"/>
  <c r="F2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tc={D1E5AF55-A41B-46CB-96F9-FC4D56B5C081}</author>
    <author>tc={B8774BBC-5864-417E-8EEA-ED8A9733EC18}</author>
    <author>tc={C7858ABD-B7E0-4DF5-A776-68817CA65871}</author>
    <author>tc={EAC1B948-C051-4930-B6F5-DC5A3F929AB2}</author>
    <author>tc={6972D72C-2F5C-499F-86CF-0DB8132B948B}</author>
    <author>tc={1C81191B-24B9-4123-B778-81D6247074F7}</author>
  </authors>
  <commentList>
    <comment ref="J2" authorId="0" shapeId="0" xr:uid="{D1E5AF55-A41B-46CB-96F9-FC4D56B5C081}">
      <text>
        <t>[线程批注]
你的Excel版本可读取此线程批注; 但如果在更新版本的Excel中打开文件，则对批注所作的任何改动都将被删除。了解详细信息: https://go.microsoft.com/fwlink/?linkid=870924
注释:
    含境外自有模板</t>
      </text>
    </comment>
    <comment ref="P2" authorId="1" shapeId="0" xr:uid="{B8774BBC-5864-417E-8EEA-ED8A9733EC18}">
      <text>
        <t>[线程批注]
你的Excel版本可读取此线程批注; 但如果在更新版本的Excel中打开文件，则对批注所作的任何改动都将被删除。了解详细信息: https://go.microsoft.com/fwlink/?linkid=870924
注释:
    在函证网站筛选函证状态为“已发出”的数量</t>
      </text>
    </comment>
    <comment ref="Q2" authorId="2" shapeId="0" xr:uid="{C7858ABD-B7E0-4DF5-A776-68817CA65871}">
      <text>
        <t>[线程批注]
你的Excel版本可读取此线程批注; 但如果在更新版本的Excel中打开文件，则对批注所作的任何改动都将被删除。了解详细信息: https://go.microsoft.com/fwlink/?linkid=870924
注释:
    在此记录重要的需处理事项，以免忘记；没有就不填</t>
      </text>
    </comment>
    <comment ref="E6" authorId="3" shapeId="0" xr:uid="{EAC1B948-C051-4930-B6F5-DC5A3F929AB2}">
      <text>
        <t>[线程批注]
你的Excel版本可读取此线程批注; 但如果在更新版本的Excel中打开文件，则对批注所作的任何改动都将被删除。了解详细信息: https://go.microsoft.com/fwlink/?linkid=870924
注释:
    EDC填写信息收集表，只填存款、销户、借款及第14项，担保、资金池等不填等银行回复</t>
      </text>
    </comment>
    <comment ref="H6" authorId="4" shapeId="0" xr:uid="{6972D72C-2F5C-499F-86CF-0DB8132B948B}">
      <text>
        <t>[线程批注]
你的Excel版本可读取此线程批注; 但如果在更新版本的Excel中打开文件，则对批注所作的任何改动都将被删除。了解详细信息: https://go.microsoft.com/fwlink/?linkid=870924
注释:
    包含一封证券模板</t>
      </text>
    </comment>
    <comment ref="D9" authorId="5" shapeId="0" xr:uid="{1C81191B-24B9-4123-B778-81D6247074F7}">
      <text>
        <t>[线程批注]
你的Excel版本可读取此线程批注; 但如果在更新版本的Excel中打开文件，则对批注所作的任何改动都将被删除。了解详细信息: https://go.microsoft.com/fwlink/?linkid=870924
注释:
    仅摩根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tc={299980A1-06AF-4E8B-81C3-A80F14DF02F3}</author>
    <author>tc={B4B1F51C-9DB4-49ED-8418-0DB06052BB90}</author>
    <author>tc={C903B7B0-EADC-4FC3-9379-56B0CF737BE5}</author>
    <author>tc={39495547-2774-40D6-AD7B-B19E2EA2A578}</author>
  </authors>
  <commentList>
    <comment ref="I2" authorId="0" shapeId="0" xr:uid="{299980A1-06AF-4E8B-81C3-A80F14DF02F3}">
      <text>
        <t>[线程批注]
你的Excel版本可读取此线程批注; 但如果在更新版本的Excel中打开文件，则对批注所作的任何改动都将被删除。了解详细信息: https://go.microsoft.com/fwlink/?linkid=870924
注释:
    最晚提交FIC复核的DDL</t>
      </text>
    </comment>
    <comment ref="K2" authorId="1" shapeId="0" xr:uid="{B4B1F51C-9DB4-49ED-8418-0DB06052BB90}">
      <text>
        <t>[线程批注]
你的Excel版本可读取此线程批注; 但如果在更新版本的Excel中打开文件，则对批注所作的任何改动都将被删除。了解详细信息: https://go.microsoft.com/fwlink/?linkid=870924
注释:
    标注Y或者N</t>
      </text>
    </comment>
    <comment ref="L2" authorId="2" shapeId="0" xr:uid="{C903B7B0-EADC-4FC3-9379-56B0CF737BE5}">
      <text>
        <t xml:space="preserve">[线程批注]
你的Excel版本可读取此线程批注; 但如果在更新版本的Excel中打开文件，则对批注所作的任何改动都将被删除。了解详细信息: https://go.microsoft.com/fwlink/?linkid=870924
注释:
    包含长期资产的新增、处置；借款的新增；费用TOD
</t>
      </text>
    </comment>
    <comment ref="O2" authorId="3" shapeId="0" xr:uid="{39495547-2774-40D6-AD7B-B19E2EA2A578}">
      <text>
        <t>[线程批注]
你的Excel版本可读取此线程批注; 但如果在更新版本的Excel中打开文件，则对批注所作的任何改动都将被删除。了解详细信息: https://go.microsoft.com/fwlink/?linkid=870924
注释:
    指的是还未解决的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tc={066466A0-027E-46D3-A0F4-380FF3F0F921}</author>
  </authors>
  <commentList>
    <comment ref="E2" authorId="0" shapeId="0" xr:uid="{066466A0-027E-46D3-A0F4-380FF3F0F921}">
      <text>
        <t>[线程批注]
你的Excel版本可读取此线程批注; 但如果在更新版本的Excel中打开文件，则对批注所作的任何改动都将被删除。了解详细信息: https://go.microsoft.com/fwlink/?linkid=870924
注释:
    此处写科目中文全称，后续需要发给项目组或发给客户的</t>
      </text>
    </comment>
  </commentList>
</comments>
</file>

<file path=xl/sharedStrings.xml><?xml version="1.0" encoding="utf-8"?>
<sst xmlns="http://schemas.openxmlformats.org/spreadsheetml/2006/main" count="5309" uniqueCount="450">
  <si>
    <t>底稿进度概览：</t>
  </si>
  <si>
    <t>服务单号</t>
  </si>
  <si>
    <t xml:space="preserve"> 预算 </t>
  </si>
  <si>
    <t>底稿数量</t>
  </si>
  <si>
    <t>已完成</t>
    <phoneticPr fontId="4" type="noConversion"/>
  </si>
  <si>
    <t>瑞云冷链</t>
  </si>
  <si>
    <t>47115251- EDC251017001</t>
  </si>
  <si>
    <t>PAOB</t>
  </si>
  <si>
    <t>47035622- EDC250625001</t>
  </si>
  <si>
    <t>香奈儿</t>
  </si>
  <si>
    <t>47096395- EDC250620001</t>
  </si>
  <si>
    <t>DNE</t>
  </si>
  <si>
    <t>47095110- EDC250620001</t>
  </si>
  <si>
    <t>江苏瑞科</t>
  </si>
  <si>
    <t>47095951- EDC250620001</t>
  </si>
  <si>
    <t>H3C</t>
  </si>
  <si>
    <t>47095577- EDC250530001</t>
  </si>
  <si>
    <t>瀚瑞森</t>
  </si>
  <si>
    <t>47094516- EDC250620002</t>
  </si>
  <si>
    <t>乐尔幸</t>
  </si>
  <si>
    <t>47097374- EDC250613002</t>
  </si>
  <si>
    <t>合计</t>
  </si>
  <si>
    <t>员工维度</t>
  </si>
  <si>
    <t>Preparer</t>
  </si>
  <si>
    <t>项目</t>
    <phoneticPr fontId="4" type="noConversion"/>
  </si>
  <si>
    <t>mengqi</t>
  </si>
  <si>
    <t>lucine</t>
  </si>
  <si>
    <t>合计</t>
    <phoneticPr fontId="4" type="noConversion"/>
  </si>
  <si>
    <t>mengqi</t>
    <phoneticPr fontId="4" type="noConversion"/>
  </si>
  <si>
    <t>lucine</t>
    <phoneticPr fontId="4" type="noConversion"/>
  </si>
  <si>
    <t>section</t>
    <phoneticPr fontId="4" type="noConversion"/>
  </si>
  <si>
    <t>项目组SP</t>
    <phoneticPr fontId="4" type="noConversion"/>
  </si>
  <si>
    <t>公盘link</t>
    <phoneticPr fontId="4" type="noConversion"/>
  </si>
  <si>
    <t>沟通方式</t>
    <phoneticPr fontId="4" type="noConversion"/>
  </si>
  <si>
    <t>项目组EIC</t>
    <phoneticPr fontId="4" type="noConversion"/>
  </si>
  <si>
    <t>项目组FIC</t>
    <phoneticPr fontId="4" type="noConversion"/>
  </si>
  <si>
    <t>备注</t>
    <phoneticPr fontId="4" type="noConversion"/>
  </si>
  <si>
    <t>47115251- EDC251017001</t>
    <phoneticPr fontId="4" type="noConversion"/>
  </si>
  <si>
    <t>C+函证（含CSP01/02)</t>
    <phoneticPr fontId="4" type="noConversion"/>
  </si>
  <si>
    <t>4/15首次交付；4/20最终交付</t>
    <phoneticPr fontId="4" type="noConversion"/>
  </si>
  <si>
    <t>OneDrive</t>
  </si>
  <si>
    <t>无</t>
  </si>
  <si>
    <t>直接对接客户，微信群联系Allen</t>
    <phoneticPr fontId="4" type="noConversion"/>
  </si>
  <si>
    <t>lexi.lv</t>
  </si>
  <si>
    <t>Nicole J Chen</t>
    <phoneticPr fontId="4" type="noConversion"/>
  </si>
  <si>
    <t>C/K1/L2/N/Q1/Uexp及非标</t>
    <phoneticPr fontId="4" type="noConversion"/>
  </si>
  <si>
    <t>2.13前交付部分底稿</t>
  </si>
  <si>
    <t>Pao Bank - FY2025 - Documents - Database - All Documents</t>
  </si>
  <si>
    <t>不直接对接客户</t>
    <phoneticPr fontId="4" type="noConversion"/>
  </si>
  <si>
    <t>Samuel.Chow</t>
  </si>
  <si>
    <t>Allen</t>
    <phoneticPr fontId="4" type="noConversion"/>
  </si>
  <si>
    <t>C+函证/Uexp/N以及ENGP及费用other的BKD</t>
  </si>
  <si>
    <t>2.27前分批交付</t>
    <phoneticPr fontId="4" type="noConversion"/>
  </si>
  <si>
    <t>EY-CHANEL - 文档 - 所有文档</t>
  </si>
  <si>
    <t>Allen.Ai</t>
  </si>
  <si>
    <t>Arthur C Zhang;Mia Cao</t>
    <phoneticPr fontId="4" type="noConversion"/>
  </si>
  <si>
    <t>47095110- EDC250620001</t>
    <phoneticPr fontId="4" type="noConversion"/>
  </si>
  <si>
    <t>DNE</t>
    <phoneticPr fontId="4" type="noConversion"/>
  </si>
  <si>
    <t>C+函证（含CSP02）/Q/Uexp/Skywind上数</t>
    <phoneticPr fontId="4" type="noConversion"/>
  </si>
  <si>
    <t>2.9前分批交付，优先Q</t>
    <phoneticPr fontId="4" type="noConversion"/>
  </si>
  <si>
    <t>DNE - 2025 DNE - 所有文档</t>
  </si>
  <si>
    <t>\\Cnshausrfl110\110shu00033\D\DJNewEaseG_AUD2023-12DJNewEaseGroup\【DNE 2025】</t>
    <phoneticPr fontId="4" type="noConversion"/>
  </si>
  <si>
    <t>邮件沟通</t>
    <phoneticPr fontId="4" type="noConversion"/>
  </si>
  <si>
    <t>joanne.ni1,rose.qi</t>
  </si>
  <si>
    <t>Jocelyn Qin</t>
  </si>
  <si>
    <t>47095951- EDC250620001</t>
    <phoneticPr fontId="4" type="noConversion"/>
  </si>
  <si>
    <t>C+函证/K1/L1/Q</t>
  </si>
  <si>
    <t>2.15前首次交付定数，2.27整体交付</t>
    <phoneticPr fontId="4" type="noConversion"/>
  </si>
  <si>
    <t>江苏瑞科Recbio - Documents - Recbio_20250930_预审 - All Documents</t>
  </si>
  <si>
    <t>\\Cnshausrfl110.ey.net\110shu00044\J\Jia_4163656_Jiangsu Rec Biotechnology</t>
  </si>
  <si>
    <t>直接对接客户，微信群</t>
    <phoneticPr fontId="4" type="noConversion"/>
  </si>
  <si>
    <t>wesley.pei</t>
  </si>
  <si>
    <t>Mia MX Yuan</t>
  </si>
  <si>
    <t>47095577- EDC250530001</t>
    <phoneticPr fontId="4" type="noConversion"/>
  </si>
  <si>
    <t>C+函证/J/K1/L1/N/Q</t>
  </si>
  <si>
    <t>2.6-2.13分批交付，2.13定数</t>
    <phoneticPr fontId="4" type="noConversion"/>
  </si>
  <si>
    <t>H3C_2022 - Documents - 2025 1231 - All Documents</t>
  </si>
  <si>
    <t>通过客户PBC系统要资料</t>
    <phoneticPr fontId="4" type="noConversion"/>
  </si>
  <si>
    <t>不直接对接客户</t>
  </si>
  <si>
    <t>donald.gu</t>
  </si>
  <si>
    <t>Chris CX Wang</t>
  </si>
  <si>
    <t>47094516- EDC250620002</t>
    <phoneticPr fontId="4" type="noConversion"/>
  </si>
  <si>
    <t>C+函证/K1/Q</t>
  </si>
  <si>
    <t>4月份年审</t>
    <phoneticPr fontId="4" type="noConversion"/>
  </si>
  <si>
    <t>看板 - 安永中国客户交互平台</t>
  </si>
  <si>
    <t>无SP和公盘，通过CCP要资料</t>
    <phoneticPr fontId="4" type="noConversion"/>
  </si>
  <si>
    <t>tina.ren</t>
  </si>
  <si>
    <t>Ryan.jy.ruan 联系harry.hj.yan</t>
    <phoneticPr fontId="4" type="noConversion"/>
  </si>
  <si>
    <t>47097374- EDC250613002</t>
    <phoneticPr fontId="4" type="noConversion"/>
  </si>
  <si>
    <t>C+函证/K1/L1/N/Uexp及费用other</t>
  </si>
  <si>
    <t>2月初交付C底稿，3.14交付其他</t>
    <phoneticPr fontId="4" type="noConversion"/>
  </si>
  <si>
    <t>无</t>
    <phoneticPr fontId="4" type="noConversion"/>
  </si>
  <si>
    <t>\\Cnshausrfl120.ey.net\120shu05025\D\Don_4526624_AUD2021-12 Dongguan Solum\Pantos\2025</t>
    <phoneticPr fontId="4" type="noConversion"/>
  </si>
  <si>
    <t>直接对接客户，广州发给 &lt;cathy.liu@lxpantos.com&gt;、&lt;amy.zhang@lxpantos.com&gt;抄送 &lt;yongsoo.park@lxpantos.com&gt;、&lt;Terry.ZL.Wang@cn.ey.com&gt;、&lt;Yana.Yin@cn.ey.com&gt;；深圳发给发给 &lt;clare.chen@lxpantos.com&gt;抄送 &lt;yongsoo.park@lxpantos.com&gt;、&lt;Terry.ZL.Wang@cn.ey.com&gt;、&lt;Yana.Yin@cn.ey.com&gt;</t>
    <phoneticPr fontId="4" type="noConversion"/>
  </si>
  <si>
    <t>Terry.ZL.Wang,Catherine-C.Zhang</t>
  </si>
  <si>
    <t>Yana Yin</t>
  </si>
  <si>
    <t>47095936- EDC260401002</t>
    <phoneticPr fontId="4" type="noConversion"/>
  </si>
  <si>
    <t>李尔汽车部件</t>
    <phoneticPr fontId="4" type="noConversion"/>
  </si>
  <si>
    <t>J/K/L1</t>
    <phoneticPr fontId="4" type="noConversion"/>
  </si>
  <si>
    <t>4/17交付</t>
    <phoneticPr fontId="4" type="noConversion"/>
  </si>
  <si>
    <t>kyle.lou</t>
  </si>
  <si>
    <t>对接人Wang Han Wu</t>
    <phoneticPr fontId="4" type="noConversion"/>
  </si>
  <si>
    <t>47095226- EDC260403001</t>
  </si>
  <si>
    <t>李尔中国投资</t>
  </si>
  <si>
    <t>J/K/L1/L2</t>
    <phoneticPr fontId="4" type="noConversion"/>
  </si>
  <si>
    <t>Jackie.HJ.Ma,Zoe-Q.Zhang</t>
  </si>
  <si>
    <t>对接人Sune Wang</t>
    <phoneticPr fontId="4" type="noConversion"/>
  </si>
  <si>
    <t>47076663- EDC260119001</t>
  </si>
  <si>
    <t>紫光展锐</t>
    <phoneticPr fontId="4" type="noConversion"/>
  </si>
  <si>
    <t>C/K/L1/L2/Uexp销管财</t>
    <phoneticPr fontId="4" type="noConversion"/>
  </si>
  <si>
    <t>最晚5月底交</t>
    <phoneticPr fontId="4" type="noConversion"/>
  </si>
  <si>
    <t>//cnshausrfl110/110shu00013/U/UnisocShan_UnisocIPO/</t>
  </si>
  <si>
    <t>Rick RW Wang</t>
  </si>
  <si>
    <t>FIC：Tallen Zhao  对接人Kevin HJ Zhou、Sienna JN Zhou</t>
    <phoneticPr fontId="4" type="noConversion"/>
  </si>
  <si>
    <t>难点卡点写在下面：</t>
    <phoneticPr fontId="4" type="noConversion"/>
  </si>
  <si>
    <r>
      <rPr>
        <b/>
        <sz val="9"/>
        <color rgb="FFFF0000"/>
        <rFont val="微软雅黑"/>
        <family val="2"/>
        <charset val="134"/>
      </rPr>
      <t>香奈儿：</t>
    </r>
    <r>
      <rPr>
        <sz val="9"/>
        <color theme="1"/>
        <rFont val="微软雅黑"/>
        <family val="2"/>
        <charset val="134"/>
      </rPr>
      <t>主要在沟通成本较高/梳理取数逻辑</t>
    </r>
    <phoneticPr fontId="4" type="noConversion"/>
  </si>
  <si>
    <t>1.客户提供的PBC与常规项目不同，同事在寻找和应用PBC时有困难，得需要跟项目组沟通。</t>
  </si>
  <si>
    <t>2.mapping关系不清晰，一开始用客户提供的合并TB与mapping表摆BKD，后来发现和报表对不上。跟项目组沟通后，需要用A3里的mapping，但项目组处理mapping较晚，同事需要stand by。另外A3很大，打开后excel很卡。</t>
  </si>
  <si>
    <t>3.有些科目参照上年的BKD不知道怎么取数，需要和项目组沟通，比如G1G3P5等</t>
  </si>
  <si>
    <t>4.部分科目需要列示PRC和ifrs两个口径的BKD，我们对ifrs口径的逻辑关系不熟悉，需要花时间梳理</t>
  </si>
  <si>
    <t>第14项</t>
    <phoneticPr fontId="4" type="noConversion"/>
  </si>
  <si>
    <t>收集表</t>
    <phoneticPr fontId="4" type="noConversion"/>
  </si>
  <si>
    <t>电子格式一</t>
    <phoneticPr fontId="4" type="noConversion"/>
  </si>
  <si>
    <t>电子格式二</t>
    <phoneticPr fontId="4" type="noConversion"/>
  </si>
  <si>
    <t>纸质格式一</t>
    <phoneticPr fontId="4" type="noConversion"/>
  </si>
  <si>
    <t>纸质格式二</t>
    <phoneticPr fontId="4" type="noConversion"/>
  </si>
  <si>
    <t>HK17</t>
    <phoneticPr fontId="4" type="noConversion"/>
  </si>
  <si>
    <t>confirmation</t>
    <phoneticPr fontId="4" type="noConversion"/>
  </si>
  <si>
    <t>合计生成</t>
    <phoneticPr fontId="4" type="noConversion"/>
  </si>
  <si>
    <t>已发出</t>
    <phoneticPr fontId="4" type="noConversion"/>
  </si>
  <si>
    <t>未发出</t>
    <phoneticPr fontId="4" type="noConversion"/>
  </si>
  <si>
    <t>已收回</t>
    <phoneticPr fontId="4" type="noConversion"/>
  </si>
  <si>
    <t>负责人</t>
    <phoneticPr fontId="4" type="noConversion"/>
  </si>
  <si>
    <t>瑞云冷链-2324</t>
  </si>
  <si>
    <t>授信及其他</t>
    <phoneticPr fontId="4" type="noConversion"/>
  </si>
  <si>
    <t>客户填写EDC整理</t>
    <phoneticPr fontId="4" type="noConversion"/>
  </si>
  <si>
    <t>瑞云冷链-2025</t>
  </si>
  <si>
    <t>不函</t>
  </si>
  <si>
    <t>EDC根据上年整理</t>
    <phoneticPr fontId="4" type="noConversion"/>
  </si>
  <si>
    <t>仅已签订合同但尚未提供资金的贷款</t>
    <phoneticPr fontId="4" type="noConversion"/>
  </si>
  <si>
    <t>EDC根据余额大表及融资台账等整理</t>
    <phoneticPr fontId="4" type="noConversion"/>
  </si>
  <si>
    <t>授信及其他</t>
  </si>
  <si>
    <t>客户填写2.0模板</t>
    <phoneticPr fontId="4" type="noConversion"/>
  </si>
  <si>
    <t>不函</t>
    <phoneticPr fontId="4" type="noConversion"/>
  </si>
  <si>
    <t>项目组填写</t>
    <phoneticPr fontId="4" type="noConversion"/>
  </si>
  <si>
    <t>工行澳门不回做替代</t>
    <phoneticPr fontId="4" type="noConversion"/>
  </si>
  <si>
    <t>已签订合同但尚未提供资金的贷款（无）</t>
    <phoneticPr fontId="4" type="noConversion"/>
  </si>
  <si>
    <t>客户填写2.0模板</t>
  </si>
  <si>
    <t>BKD</t>
    <phoneticPr fontId="4" type="noConversion"/>
  </si>
  <si>
    <t>Y</t>
  </si>
  <si>
    <t>N/A</t>
  </si>
  <si>
    <t>WP服务单</t>
    <phoneticPr fontId="4" type="noConversion"/>
  </si>
  <si>
    <t>entity</t>
    <phoneticPr fontId="4" type="noConversion"/>
  </si>
  <si>
    <t>程序</t>
    <phoneticPr fontId="4" type="noConversion"/>
  </si>
  <si>
    <t>其他程序</t>
    <phoneticPr fontId="4" type="noConversion"/>
  </si>
  <si>
    <t>备注</t>
  </si>
  <si>
    <t>是否完成</t>
    <phoneticPr fontId="4" type="noConversion"/>
  </si>
  <si>
    <t>首次交付</t>
    <phoneticPr fontId="4" type="noConversion"/>
  </si>
  <si>
    <t>最终交付</t>
    <phoneticPr fontId="4" type="noConversion"/>
  </si>
  <si>
    <t>C_货币资金</t>
  </si>
  <si>
    <t>江苏瑞科生物技术股份有限公司</t>
  </si>
  <si>
    <t>杭州瑞佰奥科技有限公司</t>
  </si>
  <si>
    <t>北京安百胜生物科技有限公司</t>
  </si>
  <si>
    <t>武汉瑞科生物技术有限公司</t>
  </si>
  <si>
    <t>HK RECBIO LIMITED</t>
  </si>
  <si>
    <t>新华三信息安全技术有限公司</t>
  </si>
  <si>
    <t>Entity</t>
  </si>
  <si>
    <t>序号</t>
  </si>
  <si>
    <t>提出时间</t>
  </si>
  <si>
    <t>科目</t>
  </si>
  <si>
    <t>OS事项</t>
    <phoneticPr fontId="4" type="noConversion"/>
  </si>
  <si>
    <t>新华三云计算技术有限公司</t>
  </si>
  <si>
    <t>新华三半导体技术有限公司</t>
  </si>
  <si>
    <t>紫光华山科技有限公司</t>
  </si>
  <si>
    <t>新华三技术有限公司</t>
  </si>
  <si>
    <t>紫光华山科技服务有限公司</t>
  </si>
  <si>
    <t>新华三集团有限公司</t>
  </si>
  <si>
    <t>新华三软件有限公司</t>
  </si>
  <si>
    <t>新华三大数据技术有限公司</t>
  </si>
  <si>
    <t>新华三信息技术有限公司</t>
  </si>
  <si>
    <t>是否自查</t>
    <phoneticPr fontId="4" type="noConversion"/>
  </si>
  <si>
    <t>OS_CSDC</t>
    <phoneticPr fontId="11" type="noConversion"/>
  </si>
  <si>
    <t>预期CSDC可以解决的OS事项</t>
    <phoneticPr fontId="11" type="noConversion"/>
  </si>
  <si>
    <t>OS_ET</t>
  </si>
  <si>
    <t>预期CSDC无法解决的OS事项，需项目组跟进</t>
    <phoneticPr fontId="11" type="noConversion"/>
  </si>
  <si>
    <t>issue</t>
  </si>
  <si>
    <t>识别的异常以及异常调整，或是执行标准与SOP有出入的</t>
  </si>
  <si>
    <t>提醒事项：待项目组跟进</t>
    <phoneticPr fontId="11" type="noConversion"/>
  </si>
  <si>
    <t>需项目组完成相关工作/关注相关事项</t>
  </si>
  <si>
    <t>序号</t>
    <phoneticPr fontId="4" type="noConversion"/>
  </si>
  <si>
    <t>说明</t>
    <phoneticPr fontId="4" type="noConversion"/>
  </si>
  <si>
    <t>资料缺失，待客户提供</t>
    <phoneticPr fontId="4" type="noConversion"/>
  </si>
  <si>
    <t>事项分类</t>
    <phoneticPr fontId="4" type="noConversion"/>
  </si>
  <si>
    <t>事项分类</t>
    <phoneticPr fontId="4" type="noConversion"/>
  </si>
  <si>
    <t>CSDC负责人</t>
    <phoneticPr fontId="4" type="noConversion"/>
  </si>
  <si>
    <t>是否解决</t>
    <phoneticPr fontId="4" type="noConversion"/>
  </si>
  <si>
    <t>FIC复核</t>
    <phoneticPr fontId="4" type="noConversion"/>
  </si>
  <si>
    <t>EIC复核</t>
    <phoneticPr fontId="4" type="noConversion"/>
  </si>
  <si>
    <t>OS_PBC</t>
    <phoneticPr fontId="11" type="noConversion"/>
  </si>
  <si>
    <t>首次交付DDL</t>
  </si>
  <si>
    <t>整体交付DDL</t>
  </si>
  <si>
    <t>交付时间备注</t>
    <phoneticPr fontId="4" type="noConversion"/>
  </si>
  <si>
    <t>cut off</t>
    <phoneticPr fontId="4" type="noConversion"/>
  </si>
  <si>
    <t>TOD</t>
    <phoneticPr fontId="4" type="noConversion"/>
  </si>
  <si>
    <t>每天打开函证网站关注待办事项，尤其是未决及异常事项；涉及地址核查的及时关注核查结果；每周三、周五在下表中更新函证进度</t>
    <phoneticPr fontId="4" type="noConversion"/>
  </si>
  <si>
    <t>执行过程中发现的异常事项或需关注事项列示在此处，用于周进度汇报</t>
    <phoneticPr fontId="4" type="noConversion"/>
  </si>
  <si>
    <t>未收回</t>
    <phoneticPr fontId="4" type="noConversion"/>
  </si>
  <si>
    <t>47137340- EDC260527002</t>
  </si>
  <si>
    <t>K/Q/Uexp VC&amp;VD/ Uexp Others</t>
  </si>
  <si>
    <t>6.18首次交付Q/Uexp Others；6.26首次交付K1/Uexp VC&amp;VD</t>
  </si>
  <si>
    <t>benu_2026 - Documents - 所有文档</t>
  </si>
  <si>
    <t>飞书对接客户，主要是项目组</t>
    <phoneticPr fontId="4" type="noConversion"/>
  </si>
  <si>
    <t>FIC已复核</t>
    <phoneticPr fontId="4" type="noConversion"/>
  </si>
  <si>
    <t>EIC已复核</t>
    <phoneticPr fontId="4" type="noConversion"/>
  </si>
  <si>
    <t>报告日</t>
    <phoneticPr fontId="4" type="noConversion"/>
  </si>
  <si>
    <t>项目类型</t>
    <phoneticPr fontId="4" type="noConversion"/>
  </si>
  <si>
    <t>项目名称</t>
    <phoneticPr fontId="4" type="noConversion"/>
  </si>
  <si>
    <t>Jane ZH Liu</t>
    <phoneticPr fontId="4" type="noConversion"/>
  </si>
  <si>
    <t>Rocky L Yu</t>
    <phoneticPr fontId="4" type="noConversion"/>
  </si>
  <si>
    <t>无</t>
    <phoneticPr fontId="4" type="noConversion"/>
  </si>
  <si>
    <t>底稿年份</t>
    <phoneticPr fontId="4" type="noConversion"/>
  </si>
  <si>
    <t>项目名称</t>
  </si>
  <si>
    <t>47095936- EDC260401002</t>
  </si>
  <si>
    <t>李尔汽车部件</t>
  </si>
  <si>
    <t>紫光展锐</t>
  </si>
  <si>
    <t>实际</t>
    <phoneticPr fontId="4" type="noConversion"/>
  </si>
  <si>
    <t>剩余</t>
    <phoneticPr fontId="4" type="noConversion"/>
  </si>
  <si>
    <t>项目维度</t>
    <phoneticPr fontId="4" type="noConversion"/>
  </si>
  <si>
    <t>距离首交倒计时（天）</t>
    <phoneticPr fontId="4" type="noConversion"/>
  </si>
  <si>
    <t>万帮数字</t>
    <phoneticPr fontId="4" type="noConversion"/>
  </si>
  <si>
    <t>cut off</t>
  </si>
  <si>
    <t>香奈儿（中国）贸易有限公司</t>
  </si>
  <si>
    <t>E1_应收账款</t>
  </si>
  <si>
    <t>只做BKD</t>
  </si>
  <si>
    <t>G1_流动资产类科目(不含G3预付账款）</t>
  </si>
  <si>
    <t>G2_长期应收款</t>
  </si>
  <si>
    <t>G3_预付账款及待摊费用</t>
  </si>
  <si>
    <t>P3_合同负债及预收账款</t>
  </si>
  <si>
    <t>P5_长期应付款及其他非流动负债</t>
  </si>
  <si>
    <t>U_exp_other</t>
  </si>
  <si>
    <t>U_exp_VC&amp;VD</t>
  </si>
  <si>
    <t>华三通信新加坡有限公司</t>
  </si>
  <si>
    <t>华三通信墨西哥有限公司</t>
  </si>
  <si>
    <t>华三技术方案马来西亚有限公司</t>
  </si>
  <si>
    <t>瑞云（深圳）冷链物流科技有限公司</t>
  </si>
  <si>
    <t>乐尔幸泛通世物流（深圳）有限公司</t>
  </si>
  <si>
    <t>乐尔幸泛通世物流（深圳）有限公司广州分公司</t>
  </si>
  <si>
    <t>福地物流发展（苏州）有限公司</t>
  </si>
  <si>
    <t>BKD/ARP</t>
  </si>
  <si>
    <t>常熟奥姆卡供应链管理有限公司</t>
  </si>
  <si>
    <t>上海衣沃实业投资有限公司</t>
  </si>
  <si>
    <t>上海东久磐易物业管理有限公司</t>
  </si>
  <si>
    <t>N</t>
  </si>
  <si>
    <t>上海万宜元山信息技术有限公司</t>
  </si>
  <si>
    <t>杭州恒致智能产业发展有限公司</t>
  </si>
  <si>
    <t>NE (BVI) 42 Limited</t>
  </si>
  <si>
    <t>BKD/利息收入测算</t>
  </si>
  <si>
    <t>D&amp;J Industrial Real Estate (China) Investment Limited</t>
  </si>
  <si>
    <t>上海临港华平经济发展有限公司</t>
  </si>
  <si>
    <t>太保4家</t>
  </si>
  <si>
    <t>BKD/ARP/利息收入测算</t>
  </si>
  <si>
    <t>PAO Bank Limited</t>
  </si>
  <si>
    <t>K1_固定资产</t>
  </si>
  <si>
    <t>L2_长期待摊费用</t>
  </si>
  <si>
    <t>瀚瑞森（中国）汽车悬挂系统有限公司</t>
  </si>
  <si>
    <t>李尔（中国）投资有限公司</t>
  </si>
  <si>
    <t>紫光展锐（上海）科技股份有限公司</t>
  </si>
  <si>
    <t>万帮数字能源股份有限公司</t>
  </si>
  <si>
    <t>P1_流动负债类科目</t>
  </si>
  <si>
    <t>N_应付账款</t>
  </si>
  <si>
    <t>L1_无形资产</t>
  </si>
  <si>
    <t>Q1_借款</t>
  </si>
  <si>
    <t>新华三人工智能科技有限公司</t>
  </si>
  <si>
    <t>新华三智能终端有限公司</t>
  </si>
  <si>
    <t>新华三科技服务有限公司</t>
  </si>
  <si>
    <t>新华三工业互联网有限公司</t>
  </si>
  <si>
    <t>新华三网络信息安全软件有限公司</t>
  </si>
  <si>
    <t>新华三技术总部实验室（内蒙古）有限公司</t>
  </si>
  <si>
    <t>新华三算力科技（上海）有限公司</t>
  </si>
  <si>
    <t>新华三进出口（杭州）有限公司</t>
  </si>
  <si>
    <t>新华三存储科技（广东）有限公司</t>
  </si>
  <si>
    <t>北京华三通信技术有限公司</t>
  </si>
  <si>
    <t>BKD+函证(不在范围内)</t>
  </si>
  <si>
    <t>新华三制造技术（海宁）有限公司</t>
  </si>
  <si>
    <t>K_固定资产</t>
  </si>
  <si>
    <t xml:space="preserve">N底稿PSP全部执行(不包括截止性测试、search for、回函差异解释和替代测试相关) </t>
  </si>
  <si>
    <t>新华三科技服务有限公司/曾用名：新华三（上海）技术有限公司</t>
  </si>
  <si>
    <t>不复核法律费用</t>
  </si>
  <si>
    <t>不含函证（优先）</t>
  </si>
  <si>
    <t>合在PPE底稿</t>
  </si>
  <si>
    <t>不含ARP</t>
  </si>
  <si>
    <t>上海李尔</t>
  </si>
  <si>
    <t>李尔（上海）汽车部件技术有限公司</t>
  </si>
  <si>
    <t>J1_在建工程</t>
  </si>
  <si>
    <t>母+分，用上年模板</t>
  </si>
  <si>
    <t>母+分，LRA底稿</t>
  </si>
  <si>
    <t>用上年模板</t>
  </si>
  <si>
    <t>LRA底稿</t>
  </si>
  <si>
    <t>展讯通信（上海）有限公司</t>
  </si>
  <si>
    <t>展讯通信（天津）有限公司</t>
  </si>
  <si>
    <t>北京紫光展锐通信技术有限公司</t>
  </si>
  <si>
    <t>展讯通信（深圳）有限公司</t>
  </si>
  <si>
    <t>Spreadtrum Communications USA Inc.</t>
  </si>
  <si>
    <t>西安紫光展锐科技有限公司</t>
  </si>
  <si>
    <t>厦门紫光展锐科技有限公司</t>
  </si>
  <si>
    <t>锐迪科微电子（上海）有限公司</t>
  </si>
  <si>
    <t>锐迪科微电子科技（上海）有限公司</t>
  </si>
  <si>
    <t>RDA Technologies Limited</t>
  </si>
  <si>
    <t>紫光展锐（上海）科技有限公司</t>
  </si>
  <si>
    <t>展讯半导体（成都）有限公司</t>
  </si>
  <si>
    <t>紫光展锐（重庆）科技有限公司</t>
  </si>
  <si>
    <t>Spreadtrum Hong Kong Limited</t>
  </si>
  <si>
    <t>展讯半导体（南京）有限公司</t>
  </si>
  <si>
    <t>L1_无形资产</t>
    <phoneticPr fontId="4" type="noConversion"/>
  </si>
  <si>
    <t>U_exp_销管财</t>
    <phoneticPr fontId="4" type="noConversion"/>
  </si>
  <si>
    <t>U_exp_other（财务费用、资产处置收益和营业外收支）</t>
    <phoneticPr fontId="4" type="noConversion"/>
  </si>
  <si>
    <t>U_exp_ 销售费用</t>
  </si>
  <si>
    <t>U_exp_ 管理费用</t>
  </si>
  <si>
    <t>U_exp_ 财务费用</t>
  </si>
  <si>
    <t>U_exp_ VC&amp;VD</t>
  </si>
  <si>
    <t>上海天利商品混凝土有限公司</t>
  </si>
  <si>
    <t>天津维驰供应链管理有限公司</t>
  </si>
  <si>
    <t>星逸（武汉）供应链管理有限公司</t>
  </si>
  <si>
    <t>上海宁熠供应链管理有限公司</t>
  </si>
  <si>
    <t>三河东谊实业发展有限公司</t>
  </si>
  <si>
    <t>诸暨益信仓储有限责任公司</t>
  </si>
  <si>
    <t>诸暨欣怡仓储有限责任公司</t>
  </si>
  <si>
    <t>诸暨市歆园仓储有限责任公司</t>
  </si>
  <si>
    <t>星宜科技创新（惠州博罗）有限责任公司</t>
  </si>
  <si>
    <t>上海万升企业发展有限公司</t>
  </si>
  <si>
    <t>上海琉诺宜企业管理咨询有限公司</t>
  </si>
  <si>
    <t>August Sail Investments (Hong Kong) Limited</t>
  </si>
  <si>
    <t>上海朗格仓储服务有限公司</t>
  </si>
  <si>
    <t>廊坊新宜科技园管理有限公司</t>
  </si>
  <si>
    <t>三河星谊供应链管理有限公司</t>
  </si>
  <si>
    <t>星宜临空科技创新（浙江）有限公司</t>
  </si>
  <si>
    <t>廊坊兴港供应链管理有限公司</t>
  </si>
  <si>
    <t>常州至平投资有限责任公司</t>
  </si>
  <si>
    <t>北京嘉逸物流发展有限公司</t>
  </si>
  <si>
    <t>北京恒远中嘉电子商务有限公司</t>
  </si>
  <si>
    <t>北京奥宝文化发展有限公司</t>
  </si>
  <si>
    <t>北京岳梧科技有限公司</t>
  </si>
  <si>
    <t>南京华赟通信息科技服务有限公司</t>
  </si>
  <si>
    <t>南京华昕通信息科技服务有限公司</t>
  </si>
  <si>
    <t>南通弗洛达实业有限公司</t>
  </si>
  <si>
    <t>重庆贝沃福实业有限公司</t>
  </si>
  <si>
    <t>南通利伯隆实业发展有限公司</t>
  </si>
  <si>
    <t>重庆迪梦捷实业有限公司</t>
  </si>
  <si>
    <t>百佳通信息技术（上海）有限公司</t>
  </si>
  <si>
    <t>上海软通恺睿置业有限公司</t>
  </si>
  <si>
    <t>冠华基业（深圳）投资咨询有限公司</t>
  </si>
  <si>
    <t>上海城市网邻企业发展有限公司</t>
  </si>
  <si>
    <t>南京华煦通信息科技服务有限公司</t>
  </si>
  <si>
    <t>南京华勋通信息科技服务有限公司</t>
  </si>
  <si>
    <t>南京华佑通信息科技服务有限公司</t>
  </si>
  <si>
    <t>南京华祺通信息科技服务有限公司</t>
  </si>
  <si>
    <t>南京华峥通信息科技服务有限公司</t>
  </si>
  <si>
    <t>上海魅嘉置业有限公司</t>
  </si>
  <si>
    <t>上海津创置业有限公司</t>
  </si>
  <si>
    <t>上海谨平置业有限公司</t>
  </si>
  <si>
    <t>上海科九置业有限公司</t>
  </si>
  <si>
    <t>无锡克雷伯实业发展有限公司</t>
  </si>
  <si>
    <t>南通玻特百实业发展有限公司</t>
  </si>
  <si>
    <t>上海沙晋实业有限公司</t>
  </si>
  <si>
    <t>南京亚音符互联网科技有限公司</t>
  </si>
  <si>
    <t>上海博格磊实业有限公司</t>
  </si>
  <si>
    <t>南通伊德斯实业发展有限公司</t>
  </si>
  <si>
    <t>南通斯柏尔实业发展有限公司</t>
  </si>
  <si>
    <t>武汉诺尔玛实业发展有限公司</t>
  </si>
  <si>
    <t>南通瑞玻维科技产业发展有限公司</t>
  </si>
  <si>
    <t>南京卡耐行实业发展有限公司</t>
  </si>
  <si>
    <t>上海久骋实业有限公司</t>
  </si>
  <si>
    <t>上海久冾实业有限公司</t>
  </si>
  <si>
    <t>深圳久舟实业有限公司</t>
  </si>
  <si>
    <t>太仓芯溪电子科技有限公司</t>
  </si>
  <si>
    <t>常州缦德为实业发展有限公司</t>
  </si>
  <si>
    <t>廊坊埃文斯实业发展有限公司</t>
  </si>
  <si>
    <t>新协航（肇庆）供应链服务有限公司</t>
  </si>
  <si>
    <t>太仓国鑫生命科技产业发展有限公司</t>
  </si>
  <si>
    <t>太仓久德生命科技产业发展有限公司</t>
  </si>
  <si>
    <t>上海杭湾汇实业发展有限公司</t>
  </si>
  <si>
    <t>上海东承霖瑞生命科技有限公司</t>
  </si>
  <si>
    <t>海宁市水木生物有限公司</t>
  </si>
  <si>
    <t>清远市清新区盛同供应链有限公司</t>
  </si>
  <si>
    <t>昆山伟晶新材料科技有限公司</t>
  </si>
  <si>
    <t>南通彼科德生命科技产业发展有限公司</t>
  </si>
  <si>
    <t>张家港奥莱德实业发展有限公司</t>
  </si>
  <si>
    <t>南京禛华生命科技产业发展有限公司</t>
  </si>
  <si>
    <t>上海至宜企业管理咨询有限公司</t>
  </si>
  <si>
    <t>廊坊至腾企业管理有限公司</t>
  </si>
  <si>
    <t>上海贝韦尔实业有限公司</t>
  </si>
  <si>
    <t>上海璟创友宏管理咨询有限公司</t>
  </si>
  <si>
    <t>上海钮坤企业管理有限公司</t>
  </si>
  <si>
    <t>Urban Renewal (BVI) Promising Limited</t>
  </si>
  <si>
    <t>太仓芯海企业管理咨询有限公司</t>
  </si>
  <si>
    <t>上海柏圩企业管理有限公司</t>
  </si>
  <si>
    <t>Q1_借款</t>
    <phoneticPr fontId="4" type="noConversion"/>
  </si>
  <si>
    <t>DJ</t>
    <phoneticPr fontId="4" type="noConversion"/>
  </si>
  <si>
    <t>NE</t>
    <phoneticPr fontId="4" type="noConversion"/>
  </si>
  <si>
    <t>DNE</t>
    <phoneticPr fontId="4" type="noConversion"/>
  </si>
  <si>
    <t>2025/12/31</t>
    <phoneticPr fontId="4" type="noConversion"/>
  </si>
  <si>
    <t>项目类型</t>
    <phoneticPr fontId="4" type="noConversion"/>
  </si>
  <si>
    <t>列示方式</t>
    <phoneticPr fontId="4" type="noConversion"/>
  </si>
  <si>
    <t>2026/4/30</t>
    <phoneticPr fontId="4" type="noConversion"/>
  </si>
  <si>
    <t>合并</t>
    <phoneticPr fontId="4" type="noConversion"/>
  </si>
  <si>
    <t>单体</t>
    <phoneticPr fontId="4" type="noConversion"/>
  </si>
  <si>
    <t>所有PSP</t>
  </si>
  <si>
    <t>所有PSP</t>
    <phoneticPr fontId="4" type="noConversion"/>
  </si>
  <si>
    <t>2023/12/31</t>
    <phoneticPr fontId="4" type="noConversion"/>
  </si>
  <si>
    <t>2024/12/31</t>
    <phoneticPr fontId="4" type="noConversion"/>
  </si>
  <si>
    <t>不做限制性契约</t>
    <phoneticPr fontId="4" type="noConversion"/>
  </si>
  <si>
    <t>jane q wang</t>
  </si>
  <si>
    <t>jane q wang</t>
    <phoneticPr fontId="4" type="noConversion"/>
  </si>
  <si>
    <t>lucine lou</t>
  </si>
  <si>
    <t>mengqi mq xu</t>
  </si>
  <si>
    <t>ting ting t wang</t>
  </si>
  <si>
    <t>taffy tian</t>
  </si>
  <si>
    <t>taffy tian</t>
    <phoneticPr fontId="4" type="noConversion"/>
  </si>
  <si>
    <t>hong yuan li</t>
  </si>
  <si>
    <t>hong yuan li</t>
    <phoneticPr fontId="4" type="noConversion"/>
  </si>
  <si>
    <t>kyon cui</t>
  </si>
  <si>
    <t>kyon cui</t>
    <phoneticPr fontId="4" type="noConversion"/>
  </si>
  <si>
    <t>sissi xx liu</t>
  </si>
  <si>
    <t>sissi xx liu</t>
    <phoneticPr fontId="4" type="noConversion"/>
  </si>
  <si>
    <t>lucine lou</t>
    <phoneticPr fontId="4" type="noConversion"/>
  </si>
  <si>
    <t>mengqi mq xu</t>
    <phoneticPr fontId="4" type="noConversion"/>
  </si>
  <si>
    <t>Y</t>
    <phoneticPr fontId="4" type="noConversion"/>
  </si>
  <si>
    <t>N/A</t>
    <phoneticPr fontId="4" type="noConversion"/>
  </si>
  <si>
    <t>每日更新下表底稿进度，下班前口头跟FIC沟通下完成情况及卡点；已完成底稿提前FIC复核前需根据checklist自查</t>
    <phoneticPr fontId="4" type="noConversion"/>
  </si>
  <si>
    <t>XMZR8900</t>
  </si>
  <si>
    <t>Pre DDL</t>
    <phoneticPr fontId="4" type="noConversion"/>
  </si>
  <si>
    <t>TOD资料尚未提供</t>
  </si>
  <si>
    <t>TOD资料尚未提供</t>
    <phoneticPr fontId="4" type="noConversion"/>
  </si>
  <si>
    <t>已抽样</t>
  </si>
  <si>
    <t>已抽样</t>
    <phoneticPr fontId="4" type="noConversion"/>
  </si>
  <si>
    <t>TOD及cut off资料尚未提供</t>
  </si>
  <si>
    <t>TOD及cut off资料尚未提供</t>
    <phoneticPr fontId="4" type="noConversion"/>
  </si>
  <si>
    <t>OS_PBC</t>
  </si>
  <si>
    <t>改扩建折旧方法存在问题，OS交付</t>
  </si>
  <si>
    <t>改扩建折旧方法存在问题，OS交付</t>
    <phoneticPr fontId="4" type="noConversion"/>
  </si>
  <si>
    <t>提醒事项：待项目组跟进</t>
  </si>
  <si>
    <t>CRA路径：\\Cnshausrfl110\110shu00013\U\UnisocShan_UnisocIPO\3. WP\2025年\</t>
  </si>
  <si>
    <t>20251231PBC路径：\\Cnshausrfl110\110shu00013\U\UnisocShan_UnisocIPO\1. PBC\8. 2025年资料\20251231\</t>
  </si>
  <si>
    <t>WP路径：\\Cnshausrfl110\110shu00013\U\UnisocShan_UnisocIPO\3. WP\0. For EIC Review\20251231\Kevin Zhou\</t>
  </si>
  <si>
    <t>长期资产PBC路径：\\Cnshausrfl110\110shu00013\U\UnisocShan_UnisocIPO\1. PBC\8. 2025年资料\20251231\44.recon更新\</t>
  </si>
  <si>
    <t>期后JE：\\Cnshausrfl110\110shu00013\U\UnisocShan_UnisocIPO\1. PBC\8. 2025年资料\20251231\97.期后26年1月报表、余额表、序时账\</t>
  </si>
  <si>
    <t>以前年度底稿：\\Cnshausrfl110\110shu00013\U\UnisocShan_UnisocIPO\3. WP\0. For EIC Review\OLD</t>
  </si>
  <si>
    <t>最新报表路径请看v34，和GET数据是一样的，就是形式上是报表形式：\\Cnshausrfl110\110shu00013\U\UnisocShan_UnisocIPO\1. PBC\1. 报表&amp;JE&amp;TB&amp;调整底稿\报表\2025年\20251231\</t>
  </si>
  <si>
    <t>最新报表附注请看v7：\\Cnshausrfl110\110shu00013\U\UnisocShan_UnisocIPO\1. PBC\8. 2025年资料\20251231\0.合并附注\展锐IPO 2025年附注 V7版\</t>
  </si>
  <si>
    <t>项目组认可该方法，最终交付继续提示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</si>
</sst>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43" formatCode="_ * #,##0.00_ ;_ * \-#,##0.00_ ;_ * &quot;-&quot;??_ ;_ @_ "/>
    <numFmt numFmtId="176" formatCode="_(* #,##0_);_(* \(#,##0\);_(* &quot;-&quot;??_);_(@_)"/>
    <numFmt numFmtId="177" formatCode="###,000"/>
    <numFmt numFmtId="178" formatCode="_ * #,##0_ ;_ * \-#,##0_ ;_ * &quot;-&quot;??_ ;_ @_ "/>
    <numFmt numFmtId="179" formatCode="_(* #,##0.00_);_(* \(#,##0.00\);_(* &quot;-&quot;??_);_(@_)"/>
  </numFmts>
  <fonts count="38">
    <font>
      <sz val="11"/>
      <color theme="1"/>
      <name val="宋体"/>
      <charset val="134"/>
      <scheme val="minor"/>
    </font>
    <font>
      <sz val="10"/>
      <color theme="1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9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微软雅黑"/>
      <family val="2"/>
      <charset val="134"/>
    </font>
    <font>
      <sz val="8"/>
      <color rgb="FF1F497D"/>
      <name val="Verdana"/>
      <family val="2"/>
    </font>
    <font>
      <sz val="11"/>
      <color indexed="8"/>
      <name val="等线"/>
      <family val="2"/>
      <charset val="134"/>
    </font>
    <font>
      <b/>
      <sz val="9"/>
      <color rgb="FF000000"/>
      <name val="微软雅黑"/>
      <family val="2"/>
      <charset val="134"/>
    </font>
    <font>
      <sz val="9"/>
      <color theme="1"/>
      <name val="微软雅黑"/>
      <family val="2"/>
    </font>
    <font>
      <u/>
      <sz val="9"/>
      <color rgb="FF0000FF"/>
      <name val="微软雅黑"/>
      <family val="2"/>
      <charset val="134"/>
    </font>
    <font>
      <sz val="10"/>
      <color theme="1"/>
      <name val="微软雅黑"/>
      <family val="2"/>
      <charset val="134"/>
    </font>
    <font>
      <u/>
      <sz val="11"/>
      <color theme="10"/>
      <name val="宋体"/>
      <family val="3"/>
      <charset val="134"/>
      <scheme val="minor"/>
    </font>
    <font>
      <sz val="9"/>
      <color rgb="FF000000"/>
      <name val="微软雅黑"/>
      <family val="2"/>
    </font>
    <font>
      <b/>
      <sz val="9"/>
      <color rgb="FFFF0000"/>
      <name val="微软雅黑"/>
      <family val="2"/>
    </font>
    <font>
      <strike/>
      <sz val="9"/>
      <color theme="1"/>
      <name val="微软雅黑"/>
      <family val="2"/>
      <charset val="134"/>
    </font>
    <font>
      <strike/>
      <sz val="9"/>
      <color theme="1"/>
      <name val="微软雅黑"/>
      <family val="2"/>
    </font>
    <font>
      <sz val="10"/>
      <color theme="1"/>
      <name val="SimSun"/>
      <family val="3"/>
      <charset val="134"/>
    </font>
    <font>
      <sz val="10"/>
      <name val="SimSun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trike/>
      <sz val="9"/>
      <color rgb="FFFF0000"/>
      <name val="微软雅黑"/>
      <family val="2"/>
      <charset val="134"/>
    </font>
    <font>
      <u/>
      <sz val="10"/>
      <color theme="1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name val="微软雅黑"/>
      <family val="2"/>
      <charset val="134"/>
    </font>
    <font>
      <b/>
      <i/>
      <sz val="9"/>
      <color rgb="FFFF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color indexed="81"/>
      <name val="宋体"/>
      <family val="3"/>
      <charset val="134"/>
    </font>
    <font>
      <sz val="10"/>
      <color theme="1"/>
      <name val="黑体"/>
      <family val="3"/>
      <charset val="134"/>
    </font>
    <font>
      <b/>
      <sz val="11"/>
      <color rgb="FFFF0000"/>
      <name val="微软雅黑"/>
      <family val="2"/>
      <charset val="134"/>
    </font>
  </fonts>
  <fills count="13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theme="3" tint="0.89996032593768116"/>
        <bgColor theme="4" tint="0.79995117038483843"/>
      </patternFill>
    </fill>
    <fill>
      <patternFill patternType="solid">
        <fgColor theme="3" tint="0.8999603259376811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BE5F1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rgb="FF000000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indexed="64"/>
      </bottom>
      <diagonal/>
    </border>
  </borders>
  <cellStyleXfs count="26">
    <xf numFmtId="0" fontId="0" fillId="0" borderId="0">
      <alignment vertical="center"/>
    </xf>
    <xf numFmtId="0" fontId="3" fillId="0" borderId="0"/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0" fontId="12" fillId="0" borderId="0"/>
    <xf numFmtId="43" fontId="3" fillId="0" borderId="0" applyFont="0" applyFill="0" applyBorder="0" applyAlignment="0" applyProtection="0">
      <alignment vertical="center"/>
    </xf>
    <xf numFmtId="177" fontId="14" fillId="9" borderId="19" applyNumberFormat="0" applyAlignment="0" applyProtection="0">
      <alignment horizontal="left" vertical="center" indent="1"/>
    </xf>
    <xf numFmtId="0" fontId="15" fillId="0" borderId="0">
      <alignment vertical="center"/>
    </xf>
    <xf numFmtId="0" fontId="15" fillId="0" borderId="0">
      <alignment vertical="center"/>
    </xf>
    <xf numFmtId="0" fontId="25" fillId="0" borderId="0"/>
    <xf numFmtId="179" fontId="26" fillId="0" borderId="0" applyFont="0" applyFill="0" applyBorder="0" applyAlignment="0" applyProtection="0"/>
    <xf numFmtId="0" fontId="27" fillId="0" borderId="0"/>
    <xf numFmtId="0" fontId="27" fillId="0" borderId="0" applyBorder="0"/>
    <xf numFmtId="0" fontId="3" fillId="0" borderId="0">
      <alignment vertical="center"/>
    </xf>
    <xf numFmtId="43" fontId="28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3" fontId="1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0" borderId="0">
      <alignment vertical="center"/>
    </xf>
  </cellStyleXfs>
  <cellXfs count="176">
    <xf numFmtId="0" fontId="0" fillId="0" borderId="0" xfId="0">
      <alignment vertical="center"/>
    </xf>
    <xf numFmtId="0" fontId="5" fillId="0" borderId="0" xfId="1" applyFont="1"/>
    <xf numFmtId="176" fontId="5" fillId="0" borderId="1" xfId="2" applyNumberFormat="1" applyFont="1" applyBorder="1" applyAlignment="1"/>
    <xf numFmtId="176" fontId="8" fillId="0" borderId="0" xfId="1" applyNumberFormat="1" applyFont="1"/>
    <xf numFmtId="0" fontId="5" fillId="8" borderId="0" xfId="1" applyFont="1" applyFill="1"/>
    <xf numFmtId="9" fontId="5" fillId="0" borderId="0" xfId="1" applyNumberFormat="1" applyFont="1"/>
    <xf numFmtId="176" fontId="5" fillId="0" borderId="0" xfId="1" applyNumberFormat="1" applyFont="1"/>
    <xf numFmtId="0" fontId="6" fillId="6" borderId="1" xfId="1" applyFont="1" applyFill="1" applyBorder="1" applyAlignment="1">
      <alignment horizontal="left" vertical="center"/>
    </xf>
    <xf numFmtId="0" fontId="6" fillId="6" borderId="7" xfId="1" applyFont="1" applyFill="1" applyBorder="1" applyAlignment="1">
      <alignment vertical="center" wrapText="1"/>
    </xf>
    <xf numFmtId="0" fontId="6" fillId="6" borderId="9" xfId="1" applyFont="1" applyFill="1" applyBorder="1" applyAlignment="1">
      <alignment vertical="center" wrapText="1"/>
    </xf>
    <xf numFmtId="0" fontId="6" fillId="6" borderId="3" xfId="1" applyFont="1" applyFill="1" applyBorder="1" applyAlignment="1">
      <alignment horizontal="left" vertical="center"/>
    </xf>
    <xf numFmtId="0" fontId="9" fillId="6" borderId="10" xfId="1" applyFont="1" applyFill="1" applyBorder="1" applyAlignment="1">
      <alignment horizontal="left" vertical="center"/>
    </xf>
    <xf numFmtId="0" fontId="9" fillId="6" borderId="11" xfId="1" applyFont="1" applyFill="1" applyBorder="1" applyAlignment="1">
      <alignment horizontal="left" vertical="center"/>
    </xf>
    <xf numFmtId="0" fontId="9" fillId="6" borderId="12" xfId="1" applyFont="1" applyFill="1" applyBorder="1" applyAlignment="1">
      <alignment horizontal="left" vertical="center"/>
    </xf>
    <xf numFmtId="0" fontId="6" fillId="3" borderId="9" xfId="1" applyFont="1" applyFill="1" applyBorder="1" applyAlignment="1">
      <alignment horizontal="center" vertical="center" wrapText="1"/>
    </xf>
    <xf numFmtId="0" fontId="6" fillId="6" borderId="7" xfId="1" applyFont="1" applyFill="1" applyBorder="1" applyAlignment="1">
      <alignment horizontal="left" vertical="center"/>
    </xf>
    <xf numFmtId="0" fontId="6" fillId="6" borderId="10" xfId="1" applyFont="1" applyFill="1" applyBorder="1" applyAlignment="1">
      <alignment horizontal="left" vertical="center"/>
    </xf>
    <xf numFmtId="0" fontId="6" fillId="6" borderId="7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4" borderId="7" xfId="0" applyFont="1" applyFill="1" applyBorder="1">
      <alignment vertical="center"/>
    </xf>
    <xf numFmtId="0" fontId="5" fillId="4" borderId="9" xfId="0" applyFont="1" applyFill="1" applyBorder="1">
      <alignment vertical="center"/>
    </xf>
    <xf numFmtId="0" fontId="5" fillId="4" borderId="15" xfId="0" applyFont="1" applyFill="1" applyBorder="1">
      <alignment vertical="center"/>
    </xf>
    <xf numFmtId="0" fontId="5" fillId="0" borderId="3" xfId="0" applyFont="1" applyBorder="1">
      <alignment vertical="center"/>
    </xf>
    <xf numFmtId="0" fontId="5" fillId="0" borderId="1" xfId="0" applyFont="1" applyBorder="1">
      <alignment vertical="center"/>
    </xf>
    <xf numFmtId="49" fontId="5" fillId="0" borderId="1" xfId="0" applyNumberFormat="1" applyFont="1" applyBorder="1">
      <alignment vertical="center"/>
    </xf>
    <xf numFmtId="14" fontId="5" fillId="0" borderId="1" xfId="0" applyNumberFormat="1" applyFont="1" applyBorder="1">
      <alignment vertical="center"/>
    </xf>
    <xf numFmtId="0" fontId="5" fillId="0" borderId="6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13" xfId="0" applyFont="1" applyBorder="1">
      <alignment vertical="center"/>
    </xf>
    <xf numFmtId="0" fontId="5" fillId="0" borderId="14" xfId="0" applyFont="1" applyBorder="1">
      <alignment vertical="center"/>
    </xf>
    <xf numFmtId="0" fontId="5" fillId="4" borderId="8" xfId="0" applyFont="1" applyFill="1" applyBorder="1">
      <alignment vertical="center"/>
    </xf>
    <xf numFmtId="0" fontId="5" fillId="0" borderId="2" xfId="0" applyFont="1" applyBorder="1">
      <alignment vertical="center"/>
    </xf>
    <xf numFmtId="14" fontId="7" fillId="0" borderId="0" xfId="1" applyNumberFormat="1" applyFont="1"/>
    <xf numFmtId="14" fontId="7" fillId="0" borderId="0" xfId="1" applyNumberFormat="1" applyFont="1" applyAlignment="1">
      <alignment horizontal="left"/>
    </xf>
    <xf numFmtId="0" fontId="5" fillId="0" borderId="1" xfId="0" applyFont="1" applyBorder="1" applyAlignment="1"/>
    <xf numFmtId="0" fontId="13" fillId="4" borderId="7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0" borderId="0" xfId="0" applyFont="1">
      <alignment vertical="center"/>
    </xf>
    <xf numFmtId="0" fontId="6" fillId="3" borderId="15" xfId="1" applyFont="1" applyFill="1" applyBorder="1" applyAlignment="1">
      <alignment horizontal="center" vertical="center" wrapText="1"/>
    </xf>
    <xf numFmtId="0" fontId="7" fillId="0" borderId="0" xfId="0" applyFont="1">
      <alignment vertical="center"/>
    </xf>
    <xf numFmtId="0" fontId="13" fillId="4" borderId="16" xfId="0" applyFont="1" applyFill="1" applyBorder="1" applyAlignment="1">
      <alignment horizontal="center" vertical="center"/>
    </xf>
    <xf numFmtId="178" fontId="6" fillId="0" borderId="0" xfId="0" applyNumberFormat="1" applyFont="1">
      <alignment vertical="center"/>
    </xf>
    <xf numFmtId="41" fontId="5" fillId="0" borderId="3" xfId="18" applyNumberFormat="1" applyFont="1" applyFill="1" applyBorder="1" applyAlignment="1">
      <alignment horizontal="center" vertical="center"/>
    </xf>
    <xf numFmtId="41" fontId="5" fillId="0" borderId="1" xfId="18" applyNumberFormat="1" applyFont="1" applyFill="1" applyBorder="1" applyAlignment="1">
      <alignment horizontal="center" vertical="center"/>
    </xf>
    <xf numFmtId="41" fontId="5" fillId="0" borderId="4" xfId="18" applyNumberFormat="1" applyFont="1" applyFill="1" applyBorder="1" applyAlignment="1">
      <alignment horizontal="center" vertical="center"/>
    </xf>
    <xf numFmtId="41" fontId="5" fillId="0" borderId="3" xfId="18" applyNumberFormat="1" applyFont="1" applyFill="1" applyBorder="1" applyAlignment="1">
      <alignment horizontal="center" vertical="center" wrapText="1"/>
    </xf>
    <xf numFmtId="41" fontId="5" fillId="0" borderId="1" xfId="18" applyNumberFormat="1" applyFont="1" applyFill="1" applyBorder="1" applyAlignment="1">
      <alignment horizontal="center" vertical="center" wrapText="1"/>
    </xf>
    <xf numFmtId="0" fontId="16" fillId="5" borderId="7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horizontal="center" vertical="center" wrapText="1"/>
    </xf>
    <xf numFmtId="0" fontId="5" fillId="0" borderId="3" xfId="0" applyFont="1" applyBorder="1" applyAlignment="1"/>
    <xf numFmtId="0" fontId="5" fillId="0" borderId="10" xfId="0" applyFont="1" applyBorder="1" applyAlignment="1"/>
    <xf numFmtId="0" fontId="5" fillId="0" borderId="13" xfId="0" applyFont="1" applyBorder="1" applyAlignment="1"/>
    <xf numFmtId="0" fontId="7" fillId="4" borderId="15" xfId="0" applyFont="1" applyFill="1" applyBorder="1" applyAlignment="1">
      <alignment horizontal="center" vertical="center"/>
    </xf>
    <xf numFmtId="0" fontId="5" fillId="4" borderId="0" xfId="0" applyFont="1" applyFill="1">
      <alignment vertical="center"/>
    </xf>
    <xf numFmtId="0" fontId="7" fillId="4" borderId="0" xfId="0" applyFont="1" applyFill="1">
      <alignment vertical="center"/>
    </xf>
    <xf numFmtId="0" fontId="17" fillId="0" borderId="1" xfId="0" applyFont="1" applyBorder="1">
      <alignment vertical="center"/>
    </xf>
    <xf numFmtId="178" fontId="5" fillId="0" borderId="0" xfId="0" applyNumberFormat="1" applyFont="1">
      <alignment vertical="center"/>
    </xf>
    <xf numFmtId="41" fontId="5" fillId="0" borderId="0" xfId="0" applyNumberFormat="1" applyFont="1">
      <alignment vertical="center"/>
    </xf>
    <xf numFmtId="0" fontId="5" fillId="0" borderId="4" xfId="0" applyFont="1" applyBorder="1">
      <alignment vertical="center"/>
    </xf>
    <xf numFmtId="0" fontId="5" fillId="0" borderId="17" xfId="0" applyFont="1" applyBorder="1">
      <alignment vertical="center"/>
    </xf>
    <xf numFmtId="41" fontId="5" fillId="0" borderId="10" xfId="18" applyNumberFormat="1" applyFont="1" applyFill="1" applyBorder="1" applyAlignment="1">
      <alignment horizontal="center" vertical="center"/>
    </xf>
    <xf numFmtId="41" fontId="5" fillId="0" borderId="13" xfId="18" applyNumberFormat="1" applyFont="1" applyFill="1" applyBorder="1" applyAlignment="1">
      <alignment horizontal="center" vertical="center"/>
    </xf>
    <xf numFmtId="41" fontId="5" fillId="0" borderId="17" xfId="18" applyNumberFormat="1" applyFont="1" applyFill="1" applyBorder="1" applyAlignment="1">
      <alignment horizontal="center" vertical="center"/>
    </xf>
    <xf numFmtId="0" fontId="18" fillId="0" borderId="1" xfId="24" applyFont="1" applyBorder="1">
      <alignment vertical="center"/>
    </xf>
    <xf numFmtId="0" fontId="17" fillId="0" borderId="0" xfId="0" applyFont="1">
      <alignment vertical="center"/>
    </xf>
    <xf numFmtId="0" fontId="17" fillId="0" borderId="3" xfId="0" applyFont="1" applyBorder="1">
      <alignment vertical="center"/>
    </xf>
    <xf numFmtId="14" fontId="5" fillId="0" borderId="1" xfId="0" applyNumberFormat="1" applyFont="1" applyBorder="1" applyAlignment="1"/>
    <xf numFmtId="14" fontId="17" fillId="0" borderId="1" xfId="0" applyNumberFormat="1" applyFont="1" applyBorder="1">
      <alignment vertical="center"/>
    </xf>
    <xf numFmtId="0" fontId="17" fillId="0" borderId="4" xfId="0" applyFont="1" applyBorder="1">
      <alignment vertical="center"/>
    </xf>
    <xf numFmtId="0" fontId="17" fillId="0" borderId="23" xfId="0" applyFont="1" applyBorder="1">
      <alignment vertical="center"/>
    </xf>
    <xf numFmtId="0" fontId="5" fillId="0" borderId="23" xfId="0" applyFont="1" applyBorder="1">
      <alignment vertical="center"/>
    </xf>
    <xf numFmtId="0" fontId="17" fillId="0" borderId="17" xfId="0" applyFont="1" applyBorder="1">
      <alignment vertical="center"/>
    </xf>
    <xf numFmtId="0" fontId="17" fillId="4" borderId="16" xfId="0" applyFont="1" applyFill="1" applyBorder="1">
      <alignment vertical="center"/>
    </xf>
    <xf numFmtId="0" fontId="17" fillId="0" borderId="5" xfId="0" applyFont="1" applyBorder="1">
      <alignment vertical="center"/>
    </xf>
    <xf numFmtId="0" fontId="17" fillId="0" borderId="14" xfId="0" applyFont="1" applyBorder="1">
      <alignment vertical="center"/>
    </xf>
    <xf numFmtId="0" fontId="17" fillId="0" borderId="18" xfId="0" applyFont="1" applyBorder="1">
      <alignment vertical="center"/>
    </xf>
    <xf numFmtId="0" fontId="17" fillId="0" borderId="13" xfId="0" applyFont="1" applyBorder="1">
      <alignment vertical="center"/>
    </xf>
    <xf numFmtId="0" fontId="17" fillId="0" borderId="10" xfId="0" applyFont="1" applyBorder="1">
      <alignment vertical="center"/>
    </xf>
    <xf numFmtId="0" fontId="5" fillId="0" borderId="25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22" xfId="0" applyFont="1" applyBorder="1">
      <alignment vertical="center"/>
    </xf>
    <xf numFmtId="0" fontId="5" fillId="0" borderId="27" xfId="0" applyFont="1" applyBorder="1">
      <alignment vertical="center"/>
    </xf>
    <xf numFmtId="0" fontId="5" fillId="0" borderId="28" xfId="0" applyFont="1" applyBorder="1">
      <alignment vertical="center"/>
    </xf>
    <xf numFmtId="0" fontId="5" fillId="0" borderId="25" xfId="0" applyFont="1" applyBorder="1" applyAlignment="1"/>
    <xf numFmtId="0" fontId="5" fillId="0" borderId="21" xfId="0" applyFont="1" applyBorder="1" applyAlignment="1"/>
    <xf numFmtId="0" fontId="8" fillId="0" borderId="1" xfId="0" applyFont="1" applyBorder="1" applyAlignment="1"/>
    <xf numFmtId="0" fontId="23" fillId="0" borderId="3" xfId="0" applyFont="1" applyBorder="1" applyAlignment="1"/>
    <xf numFmtId="0" fontId="23" fillId="0" borderId="1" xfId="0" applyFont="1" applyBorder="1" applyAlignment="1"/>
    <xf numFmtId="14" fontId="23" fillId="0" borderId="1" xfId="0" applyNumberFormat="1" applyFont="1" applyBorder="1" applyAlignment="1"/>
    <xf numFmtId="0" fontId="23" fillId="0" borderId="6" xfId="0" applyFont="1" applyBorder="1">
      <alignment vertical="center"/>
    </xf>
    <xf numFmtId="0" fontId="23" fillId="0" borderId="0" xfId="0" applyFont="1">
      <alignment vertical="center"/>
    </xf>
    <xf numFmtId="0" fontId="24" fillId="0" borderId="3" xfId="0" applyFont="1" applyBorder="1" applyAlignment="1"/>
    <xf numFmtId="0" fontId="24" fillId="0" borderId="1" xfId="0" applyFont="1" applyBorder="1" applyAlignment="1"/>
    <xf numFmtId="0" fontId="23" fillId="0" borderId="1" xfId="0" applyFont="1" applyBorder="1" applyAlignment="1">
      <alignment wrapText="1"/>
    </xf>
    <xf numFmtId="49" fontId="13" fillId="0" borderId="1" xfId="0" applyNumberFormat="1" applyFont="1" applyBorder="1">
      <alignment vertical="center"/>
    </xf>
    <xf numFmtId="0" fontId="23" fillId="0" borderId="25" xfId="0" applyFont="1" applyBorder="1" applyAlignment="1"/>
    <xf numFmtId="0" fontId="23" fillId="0" borderId="21" xfId="0" applyFont="1" applyBorder="1" applyAlignment="1"/>
    <xf numFmtId="0" fontId="29" fillId="0" borderId="21" xfId="0" applyFont="1" applyBorder="1" applyAlignment="1"/>
    <xf numFmtId="0" fontId="23" fillId="0" borderId="28" xfId="0" applyFont="1" applyBorder="1">
      <alignment vertical="center"/>
    </xf>
    <xf numFmtId="0" fontId="5" fillId="0" borderId="26" xfId="0" applyFont="1" applyBorder="1">
      <alignment vertical="center"/>
    </xf>
    <xf numFmtId="0" fontId="5" fillId="0" borderId="24" xfId="0" applyFont="1" applyBorder="1">
      <alignment vertical="center"/>
    </xf>
    <xf numFmtId="0" fontId="20" fillId="0" borderId="1" xfId="24" applyBorder="1">
      <alignment vertical="center"/>
    </xf>
    <xf numFmtId="0" fontId="18" fillId="0" borderId="13" xfId="24" applyFont="1" applyBorder="1">
      <alignment vertical="center"/>
    </xf>
    <xf numFmtId="0" fontId="20" fillId="0" borderId="21" xfId="24" applyBorder="1">
      <alignment vertical="center"/>
    </xf>
    <xf numFmtId="0" fontId="20" fillId="0" borderId="0" xfId="24" applyBorder="1">
      <alignment vertical="center"/>
    </xf>
    <xf numFmtId="0" fontId="1" fillId="0" borderId="0" xfId="25" applyFont="1">
      <alignment vertical="center"/>
    </xf>
    <xf numFmtId="0" fontId="31" fillId="0" borderId="0" xfId="25" applyFont="1">
      <alignment vertical="center"/>
    </xf>
    <xf numFmtId="0" fontId="32" fillId="0" borderId="1" xfId="25" applyFont="1" applyBorder="1">
      <alignment vertical="center"/>
    </xf>
    <xf numFmtId="0" fontId="1" fillId="11" borderId="7" xfId="25" applyFont="1" applyFill="1" applyBorder="1">
      <alignment vertical="center"/>
    </xf>
    <xf numFmtId="0" fontId="1" fillId="11" borderId="9" xfId="25" applyFont="1" applyFill="1" applyBorder="1">
      <alignment vertical="center"/>
    </xf>
    <xf numFmtId="0" fontId="1" fillId="11" borderId="15" xfId="25" applyFont="1" applyFill="1" applyBorder="1">
      <alignment vertical="center"/>
    </xf>
    <xf numFmtId="0" fontId="32" fillId="0" borderId="6" xfId="25" applyFont="1" applyBorder="1">
      <alignment vertical="center"/>
    </xf>
    <xf numFmtId="0" fontId="32" fillId="0" borderId="13" xfId="25" applyFont="1" applyBorder="1">
      <alignment vertical="center"/>
    </xf>
    <xf numFmtId="0" fontId="32" fillId="0" borderId="14" xfId="25" applyFont="1" applyBorder="1">
      <alignment vertical="center"/>
    </xf>
    <xf numFmtId="0" fontId="32" fillId="0" borderId="3" xfId="25" applyFont="1" applyBorder="1" applyAlignment="1">
      <alignment horizontal="center" vertical="center"/>
    </xf>
    <xf numFmtId="0" fontId="32" fillId="0" borderId="10" xfId="25" applyFont="1" applyBorder="1" applyAlignment="1">
      <alignment horizontal="center" vertical="center"/>
    </xf>
    <xf numFmtId="0" fontId="16" fillId="5" borderId="16" xfId="0" applyFont="1" applyFill="1" applyBorder="1" applyAlignment="1">
      <alignment horizontal="center" vertical="center"/>
    </xf>
    <xf numFmtId="0" fontId="23" fillId="0" borderId="4" xfId="0" applyFont="1" applyBorder="1" applyAlignment="1"/>
    <xf numFmtId="0" fontId="24" fillId="0" borderId="4" xfId="0" applyFont="1" applyBorder="1" applyAlignment="1"/>
    <xf numFmtId="0" fontId="5" fillId="0" borderId="4" xfId="0" applyFont="1" applyBorder="1" applyAlignment="1"/>
    <xf numFmtId="0" fontId="23" fillId="0" borderId="22" xfId="0" applyFont="1" applyBorder="1" applyAlignment="1"/>
    <xf numFmtId="0" fontId="5" fillId="0" borderId="22" xfId="0" applyFont="1" applyBorder="1" applyAlignment="1"/>
    <xf numFmtId="0" fontId="5" fillId="0" borderId="17" xfId="0" applyFont="1" applyBorder="1" applyAlignment="1"/>
    <xf numFmtId="0" fontId="17" fillId="0" borderId="29" xfId="0" applyFont="1" applyBorder="1">
      <alignment vertical="center"/>
    </xf>
    <xf numFmtId="0" fontId="5" fillId="0" borderId="30" xfId="0" applyFont="1" applyBorder="1">
      <alignment vertical="center"/>
    </xf>
    <xf numFmtId="0" fontId="22" fillId="4" borderId="9" xfId="0" applyFont="1" applyFill="1" applyBorder="1">
      <alignment vertical="center"/>
    </xf>
    <xf numFmtId="0" fontId="17" fillId="4" borderId="33" xfId="0" applyFont="1" applyFill="1" applyBorder="1">
      <alignment vertical="center"/>
    </xf>
    <xf numFmtId="0" fontId="17" fillId="0" borderId="34" xfId="0" applyFont="1" applyBorder="1">
      <alignment vertical="center"/>
    </xf>
    <xf numFmtId="0" fontId="17" fillId="0" borderId="35" xfId="0" applyFont="1" applyBorder="1">
      <alignment vertical="center"/>
    </xf>
    <xf numFmtId="0" fontId="17" fillId="0" borderId="11" xfId="0" applyFont="1" applyBorder="1">
      <alignment vertical="center"/>
    </xf>
    <xf numFmtId="0" fontId="22" fillId="4" borderId="16" xfId="0" applyFont="1" applyFill="1" applyBorder="1">
      <alignment vertical="center"/>
    </xf>
    <xf numFmtId="0" fontId="33" fillId="0" borderId="0" xfId="0" applyFont="1">
      <alignment vertical="center"/>
    </xf>
    <xf numFmtId="14" fontId="5" fillId="0" borderId="21" xfId="0" applyNumberFormat="1" applyFont="1" applyBorder="1">
      <alignment vertical="center"/>
    </xf>
    <xf numFmtId="14" fontId="5" fillId="0" borderId="1" xfId="0" applyNumberFormat="1" applyFont="1" applyBorder="1" applyAlignment="1">
      <alignment vertical="center" wrapText="1"/>
    </xf>
    <xf numFmtId="176" fontId="5" fillId="0" borderId="27" xfId="2" applyNumberFormat="1" applyFont="1" applyFill="1" applyBorder="1" applyAlignment="1">
      <alignment vertical="center"/>
    </xf>
    <xf numFmtId="176" fontId="5" fillId="0" borderId="21" xfId="2" applyNumberFormat="1" applyFont="1" applyBorder="1" applyAlignment="1"/>
    <xf numFmtId="176" fontId="5" fillId="0" borderId="2" xfId="2" applyNumberFormat="1" applyFont="1" applyFill="1" applyBorder="1" applyAlignment="1">
      <alignment vertical="center"/>
    </xf>
    <xf numFmtId="0" fontId="6" fillId="6" borderId="15" xfId="1" applyFont="1" applyFill="1" applyBorder="1" applyAlignment="1">
      <alignment vertical="center" wrapText="1"/>
    </xf>
    <xf numFmtId="14" fontId="6" fillId="0" borderId="6" xfId="1" applyNumberFormat="1" applyFont="1" applyFill="1" applyBorder="1" applyAlignment="1">
      <alignment horizontal="left" vertical="center"/>
    </xf>
    <xf numFmtId="43" fontId="36" fillId="0" borderId="6" xfId="0" applyNumberFormat="1" applyFont="1" applyFill="1" applyBorder="1" applyAlignment="1">
      <alignment horizontal="right"/>
    </xf>
    <xf numFmtId="0" fontId="6" fillId="7" borderId="8" xfId="1" applyFont="1" applyFill="1" applyBorder="1" applyAlignment="1">
      <alignment horizontal="center" vertical="center" wrapText="1"/>
    </xf>
    <xf numFmtId="176" fontId="6" fillId="2" borderId="18" xfId="2" applyNumberFormat="1" applyFont="1" applyFill="1" applyBorder="1" applyAlignment="1"/>
    <xf numFmtId="0" fontId="5" fillId="0" borderId="0" xfId="1" applyNumberFormat="1" applyFont="1"/>
    <xf numFmtId="0" fontId="5" fillId="0" borderId="0" xfId="1" applyNumberFormat="1" applyFont="1" applyAlignment="1">
      <alignment horizontal="left"/>
    </xf>
    <xf numFmtId="176" fontId="5" fillId="0" borderId="6" xfId="2" applyNumberFormat="1" applyFont="1" applyBorder="1" applyAlignment="1"/>
    <xf numFmtId="176" fontId="5" fillId="0" borderId="28" xfId="2" applyNumberFormat="1" applyFont="1" applyBorder="1" applyAlignment="1"/>
    <xf numFmtId="43" fontId="5" fillId="0" borderId="0" xfId="1" applyNumberFormat="1" applyFont="1"/>
    <xf numFmtId="178" fontId="5" fillId="0" borderId="3" xfId="18" applyNumberFormat="1" applyFont="1" applyBorder="1">
      <alignment vertical="center"/>
    </xf>
    <xf numFmtId="178" fontId="5" fillId="0" borderId="1" xfId="2" applyNumberFormat="1" applyFont="1" applyBorder="1" applyAlignment="1"/>
    <xf numFmtId="178" fontId="5" fillId="0" borderId="6" xfId="2" applyNumberFormat="1" applyFont="1" applyBorder="1" applyAlignment="1"/>
    <xf numFmtId="178" fontId="6" fillId="10" borderId="20" xfId="18" applyNumberFormat="1" applyFont="1" applyFill="1" applyBorder="1">
      <alignment vertical="center"/>
    </xf>
    <xf numFmtId="178" fontId="6" fillId="10" borderId="13" xfId="18" applyNumberFormat="1" applyFont="1" applyFill="1" applyBorder="1">
      <alignment vertical="center"/>
    </xf>
    <xf numFmtId="178" fontId="6" fillId="10" borderId="14" xfId="18" applyNumberFormat="1" applyFont="1" applyFill="1" applyBorder="1">
      <alignment vertical="center"/>
    </xf>
    <xf numFmtId="0" fontId="34" fillId="0" borderId="0" xfId="1" applyFont="1"/>
    <xf numFmtId="0" fontId="37" fillId="0" borderId="0" xfId="1" applyFont="1"/>
    <xf numFmtId="14" fontId="37" fillId="0" borderId="0" xfId="1" applyNumberFormat="1" applyFont="1"/>
    <xf numFmtId="0" fontId="17" fillId="0" borderId="26" xfId="0" applyFont="1" applyBorder="1">
      <alignment vertical="center"/>
    </xf>
    <xf numFmtId="0" fontId="17" fillId="0" borderId="21" xfId="0" applyFont="1" applyBorder="1">
      <alignment vertical="center"/>
    </xf>
    <xf numFmtId="0" fontId="17" fillId="0" borderId="22" xfId="0" applyFont="1" applyBorder="1">
      <alignment vertical="center"/>
    </xf>
    <xf numFmtId="0" fontId="17" fillId="0" borderId="24" xfId="0" applyFont="1" applyBorder="1">
      <alignment vertical="center"/>
    </xf>
    <xf numFmtId="0" fontId="17" fillId="0" borderId="30" xfId="0" applyFont="1" applyBorder="1">
      <alignment vertical="center"/>
    </xf>
    <xf numFmtId="49" fontId="5" fillId="0" borderId="21" xfId="0" applyNumberFormat="1" applyFont="1" applyBorder="1">
      <alignment vertical="center"/>
    </xf>
    <xf numFmtId="176" fontId="6" fillId="2" borderId="12" xfId="2" applyNumberFormat="1" applyFont="1" applyFill="1" applyBorder="1" applyAlignment="1"/>
    <xf numFmtId="0" fontId="17" fillId="12" borderId="31" xfId="0" applyFont="1" applyFill="1" applyBorder="1">
      <alignment vertical="center"/>
    </xf>
    <xf numFmtId="0" fontId="17" fillId="12" borderId="9" xfId="0" applyFont="1" applyFill="1" applyBorder="1">
      <alignment vertical="center"/>
    </xf>
    <xf numFmtId="0" fontId="22" fillId="12" borderId="9" xfId="0" applyFont="1" applyFill="1" applyBorder="1">
      <alignment vertical="center"/>
    </xf>
    <xf numFmtId="0" fontId="22" fillId="12" borderId="16" xfId="0" applyFont="1" applyFill="1" applyBorder="1">
      <alignment vertical="center"/>
    </xf>
    <xf numFmtId="0" fontId="21" fillId="12" borderId="16" xfId="0" applyFont="1" applyFill="1" applyBorder="1">
      <alignment vertical="center"/>
    </xf>
    <xf numFmtId="0" fontId="17" fillId="12" borderId="32" xfId="0" applyFont="1" applyFill="1" applyBorder="1">
      <alignment vertical="center"/>
    </xf>
    <xf numFmtId="0" fontId="17" fillId="0" borderId="3" xfId="0" applyFont="1" applyBorder="1" applyAlignment="1"/>
    <xf numFmtId="0" fontId="17" fillId="0" borderId="1" xfId="0" applyFont="1" applyBorder="1" applyAlignment="1"/>
  </cellXfs>
  <cellStyles count="26">
    <cellStyle name="Comma" xfId="18" xr:uid="{96F525D8-3E7C-491E-87BB-6A6D549A9208}"/>
    <cellStyle name="Comma 4 3" xfId="14" xr:uid="{DB51CFDB-CEE2-464E-A731-9375D8503CEA}"/>
    <cellStyle name="Comma 5" xfId="2" xr:uid="{D166B4D3-EB6E-4A37-97DE-7D92BAE08245}"/>
    <cellStyle name="Hyperlink" xfId="24" xr:uid="{00000000-000B-0000-0000-000008000000}"/>
    <cellStyle name="Normal 2 11" xfId="17" xr:uid="{423CF7C4-5512-46F0-93FA-E5107066E8B2}"/>
    <cellStyle name="Normal 2 2 3" xfId="13" xr:uid="{AAFE02C9-14A6-401B-9B3C-63C729C1C810}"/>
    <cellStyle name="SAPMemberCell" xfId="10" xr:uid="{DDF4D846-BE6E-404B-A51E-622B69279B12}"/>
    <cellStyle name="百分比 2" xfId="3" xr:uid="{94A5027A-2922-4822-8AF3-3C1AC0EF1BEB}"/>
    <cellStyle name="百分比 3" xfId="21" xr:uid="{1DAF40E9-2C2F-464D-9441-CC293D7067E8}"/>
    <cellStyle name="常规" xfId="0" builtinId="0"/>
    <cellStyle name="常规 2" xfId="4" xr:uid="{3C9F2CCA-35AE-466D-B39D-5E3CCC8DFA8E}"/>
    <cellStyle name="常规 2 2" xfId="6" xr:uid="{C401F2B3-0405-4247-9CE8-F22FC4E91E46}"/>
    <cellStyle name="常规 2 4 2" xfId="15" xr:uid="{A5AD07F8-8B7D-42E6-A06E-BCFDAF67D6B6}"/>
    <cellStyle name="常规 2 4 2 2" xfId="16" xr:uid="{18129263-5375-4CD8-A97C-BA231C873200}"/>
    <cellStyle name="常规 3" xfId="8" xr:uid="{9BE37A06-0B99-47B5-83FF-E87E0FD72AE6}"/>
    <cellStyle name="常规 3 2" xfId="12" xr:uid="{6F76ED58-9CDB-466F-B540-680CC85E6B99}"/>
    <cellStyle name="常规 4" xfId="1" xr:uid="{D7E35498-7AB1-4D5E-822B-CA7B8325BE73}"/>
    <cellStyle name="常规 5" xfId="11" xr:uid="{0F8D4523-082D-45E2-B6DF-865E0C66659B}"/>
    <cellStyle name="常规 6" xfId="19" xr:uid="{B96E9EB9-708A-4F1F-BEE6-322AEA609BEF}"/>
    <cellStyle name="常规 7" xfId="25" xr:uid="{93C0FF0E-9114-413C-ADEA-CBED589E5B23}"/>
    <cellStyle name="超链接 2" xfId="23" xr:uid="{B4A540C5-534A-4F39-B96C-8874EDB5750D}"/>
    <cellStyle name="千位分隔 2" xfId="5" xr:uid="{72247B9E-90CD-4819-9041-73FB118882B5}"/>
    <cellStyle name="千位分隔 2 2" xfId="7" xr:uid="{227530CC-E421-4F66-A734-A9D128CF1AE6}"/>
    <cellStyle name="千位分隔 3" xfId="9" xr:uid="{0C0203CA-C32B-4575-B4C3-4B68D11E1C45}"/>
    <cellStyle name="千位分隔 3 2" xfId="20" xr:uid="{695A4B95-4032-4BFD-A2F0-27E9C3375514}"/>
    <cellStyle name="千位分隔 4" xfId="22" xr:uid="{E3699D06-C3D6-4434-955E-FD7B1E0D0F09}"/>
  </cellStyles>
  <dxfs count="6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ychinamanaged-my.sharepoint.cn/personal/ryan_xp_zhu_cn_ey_com/Documents/project%20management/FY26-Project%20management.xlsx" TargetMode="External"/><Relationship Id="rId1" Type="http://schemas.openxmlformats.org/officeDocument/2006/relationships/externalLinkPath" Target="/personal/ryan_xp_zhu_cn_ey_com/Documents/project%20management/FY26-Project%20manage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打印版"/>
      <sheetName val="Planner"/>
      <sheetName val="项目工时-明细表"/>
      <sheetName val="休假&amp;IDLE管理"/>
      <sheetName val="项目工时-人员口径"/>
      <sheetName val="项目工时-项目口径"/>
      <sheetName val="SG原始数据（每周一更新）"/>
      <sheetName val="每周计划"/>
      <sheetName val="项目管理及复盘模板-时间表"/>
      <sheetName val="项目管理及复盘模板-函证进度"/>
      <sheetName val="项目管理及复盘模板-底稿及PBC进度"/>
      <sheetName val="每日计划"/>
      <sheetName val="附表"/>
      <sheetName val="邮箱"/>
      <sheetName val="portfolio"/>
    </sheetNames>
    <sheetDataSet>
      <sheetData sheetId="0"/>
      <sheetData sheetId="1"/>
      <sheetData sheetId="2"/>
      <sheetData sheetId="3"/>
      <sheetData sheetId="4"/>
      <sheetData sheetId="5">
        <row r="1">
          <cell r="B1" t="str">
            <v>服务单号</v>
          </cell>
          <cell r="J1" t="str">
            <v>实际合计</v>
          </cell>
        </row>
        <row r="2">
          <cell r="B2" t="str">
            <v>47113945- EDC251107001</v>
          </cell>
          <cell r="J2">
            <v>29</v>
          </cell>
        </row>
        <row r="3">
          <cell r="B3" t="str">
            <v>47094512- EDC251029001</v>
          </cell>
          <cell r="J3">
            <v>68</v>
          </cell>
        </row>
        <row r="4">
          <cell r="B4" t="str">
            <v>47115251- EDC251017001</v>
          </cell>
          <cell r="J4">
            <v>814</v>
          </cell>
        </row>
        <row r="5">
          <cell r="B5" t="str">
            <v>47116416- EDC251009001</v>
          </cell>
          <cell r="J5">
            <v>390</v>
          </cell>
        </row>
        <row r="6">
          <cell r="B6" t="str">
            <v>47108759- EDC250827001</v>
          </cell>
          <cell r="J6">
            <v>417</v>
          </cell>
        </row>
        <row r="7">
          <cell r="B7" t="str">
            <v>47106283- EDC250807002</v>
          </cell>
          <cell r="J7">
            <v>699.8</v>
          </cell>
        </row>
        <row r="8">
          <cell r="B8" t="str">
            <v>47096907- EDC250729001</v>
          </cell>
          <cell r="J8">
            <v>179</v>
          </cell>
        </row>
        <row r="9">
          <cell r="B9" t="str">
            <v>47100696- EDC250729001</v>
          </cell>
          <cell r="J9">
            <v>54.5</v>
          </cell>
        </row>
        <row r="10">
          <cell r="B10" t="str">
            <v>47110446- EDC250729001</v>
          </cell>
          <cell r="J10">
            <v>107</v>
          </cell>
        </row>
        <row r="11">
          <cell r="B11" t="str">
            <v>47110446- EDC250728001</v>
          </cell>
          <cell r="J11">
            <v>139.30000000000001</v>
          </cell>
        </row>
        <row r="12">
          <cell r="B12" t="str">
            <v>47075998- EDC250717003</v>
          </cell>
          <cell r="J12">
            <v>518</v>
          </cell>
        </row>
        <row r="13">
          <cell r="B13" t="str">
            <v>47108169- EDC250717004</v>
          </cell>
          <cell r="J13">
            <v>652.79999999999995</v>
          </cell>
        </row>
        <row r="14">
          <cell r="B14" t="str">
            <v>47095104- EDC250626002</v>
          </cell>
          <cell r="J14">
            <v>0</v>
          </cell>
        </row>
        <row r="15">
          <cell r="B15" t="str">
            <v>47095104- EDC250626001</v>
          </cell>
          <cell r="J15">
            <v>52</v>
          </cell>
        </row>
        <row r="16">
          <cell r="B16" t="str">
            <v>47035622- EDC250625001</v>
          </cell>
          <cell r="J16">
            <v>315.5</v>
          </cell>
        </row>
        <row r="17">
          <cell r="B17" t="str">
            <v>47096395- EDC250624001</v>
          </cell>
          <cell r="J17">
            <v>0</v>
          </cell>
        </row>
        <row r="18">
          <cell r="B18" t="str">
            <v>47096002- EDC250623001</v>
          </cell>
          <cell r="J18">
            <v>542</v>
          </cell>
        </row>
        <row r="19">
          <cell r="B19" t="str">
            <v>47096395- EDC250620001</v>
          </cell>
          <cell r="J19">
            <v>255</v>
          </cell>
        </row>
        <row r="20">
          <cell r="B20" t="str">
            <v>47096436- EDC250620002</v>
          </cell>
          <cell r="J20">
            <v>102.5</v>
          </cell>
        </row>
        <row r="21">
          <cell r="B21" t="str">
            <v>47096434- EDC250620002</v>
          </cell>
          <cell r="J21">
            <v>82.5</v>
          </cell>
        </row>
        <row r="22">
          <cell r="B22" t="str">
            <v>47096434- EDC250620001</v>
          </cell>
          <cell r="J22">
            <v>0</v>
          </cell>
        </row>
        <row r="23">
          <cell r="B23" t="str">
            <v>47096436- EDC250620001</v>
          </cell>
          <cell r="J23">
            <v>0</v>
          </cell>
        </row>
        <row r="24">
          <cell r="B24" t="str">
            <v>47094517- EDC250620001</v>
          </cell>
          <cell r="J24">
            <v>404.6</v>
          </cell>
        </row>
        <row r="25">
          <cell r="B25" t="str">
            <v>47095110- EDC250620001</v>
          </cell>
          <cell r="J25">
            <v>1879.5</v>
          </cell>
        </row>
        <row r="26">
          <cell r="B26" t="str">
            <v>47096747- EDC250620001</v>
          </cell>
          <cell r="J26">
            <v>431</v>
          </cell>
        </row>
        <row r="27">
          <cell r="B27" t="str">
            <v>47096540- EDC250620001</v>
          </cell>
          <cell r="J27">
            <v>0</v>
          </cell>
        </row>
        <row r="28">
          <cell r="B28" t="str">
            <v>47095951- EDC250620001</v>
          </cell>
          <cell r="J28">
            <v>187.5</v>
          </cell>
        </row>
        <row r="29">
          <cell r="B29" t="str">
            <v>47096541- EDC250620001</v>
          </cell>
          <cell r="J29">
            <v>71.5</v>
          </cell>
        </row>
        <row r="30">
          <cell r="B30" t="str">
            <v>47098208- EDC250618001</v>
          </cell>
          <cell r="J30">
            <v>18.5</v>
          </cell>
        </row>
        <row r="31">
          <cell r="B31" t="str">
            <v>47098303- EDC250618001</v>
          </cell>
          <cell r="J31">
            <v>0</v>
          </cell>
        </row>
        <row r="32">
          <cell r="B32" t="str">
            <v>47098302- EDC250618001</v>
          </cell>
          <cell r="J32">
            <v>110.5</v>
          </cell>
        </row>
        <row r="33">
          <cell r="B33" t="str">
            <v>47098207- EDC250618001</v>
          </cell>
          <cell r="J33">
            <v>70</v>
          </cell>
        </row>
        <row r="34">
          <cell r="B34" t="str">
            <v>47098204- EDC250617001</v>
          </cell>
          <cell r="J34">
            <v>71</v>
          </cell>
        </row>
        <row r="35">
          <cell r="B35" t="str">
            <v>47097359- EDC250617001</v>
          </cell>
          <cell r="J35">
            <v>107.5</v>
          </cell>
        </row>
        <row r="36">
          <cell r="B36" t="str">
            <v>47094754- EDC250604001</v>
          </cell>
          <cell r="J36">
            <v>329.5</v>
          </cell>
        </row>
        <row r="37">
          <cell r="B37" t="str">
            <v>47095577- EDC250530001</v>
          </cell>
          <cell r="J37">
            <v>604</v>
          </cell>
        </row>
        <row r="38">
          <cell r="B38" t="str">
            <v>47096873- EDC250527001</v>
          </cell>
          <cell r="J38">
            <v>3860</v>
          </cell>
        </row>
        <row r="39">
          <cell r="B39" t="str">
            <v>47094516- EDC250620002</v>
          </cell>
          <cell r="J39">
            <v>42.5</v>
          </cell>
        </row>
        <row r="40">
          <cell r="B40" t="str">
            <v>47097374- EDC250613002</v>
          </cell>
          <cell r="J40">
            <v>102</v>
          </cell>
        </row>
        <row r="41">
          <cell r="B41" t="str">
            <v>47116574- EDC260402001</v>
          </cell>
          <cell r="J41">
            <v>341.5</v>
          </cell>
        </row>
        <row r="42">
          <cell r="B42" t="str">
            <v>47095936- EDC260401002</v>
          </cell>
          <cell r="J42">
            <v>32</v>
          </cell>
        </row>
        <row r="43">
          <cell r="B43" t="str">
            <v>47095226- EDC260403001</v>
          </cell>
          <cell r="J43">
            <v>34</v>
          </cell>
        </row>
        <row r="44">
          <cell r="B44" t="str">
            <v>47076663- EDC260119001</v>
          </cell>
          <cell r="J44">
            <v>485</v>
          </cell>
        </row>
        <row r="45">
          <cell r="B45" t="str">
            <v>47039894- EDC260518002</v>
          </cell>
          <cell r="J45">
            <v>39</v>
          </cell>
        </row>
        <row r="46">
          <cell r="B46" t="str">
            <v>47137340- EDC260527002</v>
          </cell>
          <cell r="J46">
            <v>0</v>
          </cell>
        </row>
        <row r="48">
          <cell r="B48" t="str">
            <v>常规底稿-Booking（订单管理）</v>
          </cell>
        </row>
        <row r="49">
          <cell r="B49" t="str">
            <v>常规底稿-on job coach</v>
          </cell>
        </row>
      </sheetData>
      <sheetData sheetId="6">
        <row r="1">
          <cell r="F1" t="str">
            <v>WP服务单编号</v>
          </cell>
          <cell r="T1" t="str">
            <v>项目类型</v>
          </cell>
        </row>
        <row r="2">
          <cell r="F2" t="str">
            <v>47113945- EDC251107001</v>
          </cell>
          <cell r="T2" t="str">
            <v>PIE</v>
          </cell>
        </row>
        <row r="3">
          <cell r="F3" t="str">
            <v>47094512- EDC251029001</v>
          </cell>
          <cell r="T3" t="str">
            <v>MNC</v>
          </cell>
        </row>
        <row r="4">
          <cell r="F4" t="str">
            <v>47115251- EDC251017001</v>
          </cell>
          <cell r="T4" t="str">
            <v>IPO</v>
          </cell>
        </row>
        <row r="5">
          <cell r="F5" t="str">
            <v>47116416- EDC251009001</v>
          </cell>
          <cell r="T5" t="str">
            <v>IPO</v>
          </cell>
        </row>
        <row r="6">
          <cell r="F6" t="str">
            <v>47108759- EDC250827001</v>
          </cell>
          <cell r="T6" t="str">
            <v>IPO</v>
          </cell>
        </row>
        <row r="7">
          <cell r="F7" t="str">
            <v>47106283- EDC250807002</v>
          </cell>
          <cell r="T7" t="str">
            <v>PIE</v>
          </cell>
        </row>
        <row r="8">
          <cell r="F8" t="str">
            <v>47096907- EDC250729001</v>
          </cell>
          <cell r="T8" t="str">
            <v>PIE</v>
          </cell>
        </row>
        <row r="9">
          <cell r="F9" t="str">
            <v>47100696- EDC250729001</v>
          </cell>
          <cell r="T9" t="str">
            <v>MNC</v>
          </cell>
        </row>
        <row r="10">
          <cell r="F10" t="str">
            <v>47110446- EDC250729001</v>
          </cell>
          <cell r="T10" t="str">
            <v>IPO</v>
          </cell>
        </row>
        <row r="11">
          <cell r="F11" t="str">
            <v>47110446- EDC250728001</v>
          </cell>
          <cell r="T11" t="str">
            <v>IPO</v>
          </cell>
        </row>
        <row r="12">
          <cell r="F12" t="str">
            <v>47075998- EDC250717003</v>
          </cell>
          <cell r="T12" t="str">
            <v>PIE</v>
          </cell>
        </row>
        <row r="13">
          <cell r="F13" t="str">
            <v>47108169- EDC250717004</v>
          </cell>
          <cell r="T13" t="str">
            <v>IPO</v>
          </cell>
        </row>
        <row r="14">
          <cell r="F14" t="str">
            <v>47095104- EDC250626002</v>
          </cell>
          <cell r="T14" t="str">
            <v>MNC</v>
          </cell>
        </row>
        <row r="15">
          <cell r="F15" t="str">
            <v>47095104- EDC250626001</v>
          </cell>
          <cell r="T15" t="str">
            <v>MNC</v>
          </cell>
        </row>
        <row r="16">
          <cell r="F16" t="str">
            <v>47035622- EDC250625001</v>
          </cell>
          <cell r="T16" t="str">
            <v>FSO PIE</v>
          </cell>
        </row>
        <row r="17">
          <cell r="F17" t="str">
            <v>47096395- EDC250624001</v>
          </cell>
          <cell r="T17" t="str">
            <v>MNC</v>
          </cell>
        </row>
        <row r="18">
          <cell r="F18" t="str">
            <v>47096002- EDC250623001</v>
          </cell>
          <cell r="T18" t="str">
            <v>Non-PIE</v>
          </cell>
        </row>
        <row r="19">
          <cell r="F19" t="str">
            <v>47094516- EDC250620002</v>
          </cell>
          <cell r="T19" t="str">
            <v>MNC</v>
          </cell>
        </row>
        <row r="20">
          <cell r="F20" t="str">
            <v>47096395- EDC250620001</v>
          </cell>
          <cell r="T20" t="str">
            <v>MNC</v>
          </cell>
        </row>
        <row r="21">
          <cell r="F21" t="str">
            <v>47096436- EDC250620002</v>
          </cell>
          <cell r="T21" t="str">
            <v>MNC</v>
          </cell>
        </row>
        <row r="22">
          <cell r="F22" t="str">
            <v>47096434- EDC250620002</v>
          </cell>
          <cell r="T22" t="str">
            <v>MNC</v>
          </cell>
        </row>
        <row r="23">
          <cell r="F23" t="str">
            <v>47096434- EDC250620001</v>
          </cell>
          <cell r="T23" t="str">
            <v>MNC</v>
          </cell>
        </row>
        <row r="24">
          <cell r="F24" t="str">
            <v>47096436- EDC250620001</v>
          </cell>
          <cell r="T24" t="str">
            <v>MNC</v>
          </cell>
        </row>
        <row r="25">
          <cell r="F25" t="str">
            <v>47094517- EDC250620001</v>
          </cell>
          <cell r="T25" t="str">
            <v>MNC</v>
          </cell>
        </row>
        <row r="26">
          <cell r="F26" t="str">
            <v>47095110- EDC250620001</v>
          </cell>
          <cell r="T26" t="str">
            <v>Non-PIE</v>
          </cell>
        </row>
        <row r="27">
          <cell r="F27" t="str">
            <v>47096747- EDC250620001</v>
          </cell>
          <cell r="T27" t="str">
            <v>PIE</v>
          </cell>
        </row>
        <row r="28">
          <cell r="F28" t="str">
            <v>47096540- EDC250620001</v>
          </cell>
          <cell r="T28" t="str">
            <v>MNC</v>
          </cell>
        </row>
        <row r="29">
          <cell r="F29" t="str">
            <v>47095951- EDC250620001</v>
          </cell>
          <cell r="T29" t="str">
            <v>PIE</v>
          </cell>
        </row>
        <row r="30">
          <cell r="F30" t="str">
            <v>47096541- EDC250620001</v>
          </cell>
          <cell r="T30" t="str">
            <v>MNC</v>
          </cell>
        </row>
        <row r="31">
          <cell r="F31" t="str">
            <v>47098208- EDC250618001</v>
          </cell>
          <cell r="T31" t="str">
            <v>MNC</v>
          </cell>
        </row>
        <row r="32">
          <cell r="F32" t="str">
            <v>47098303- EDC250618001</v>
          </cell>
          <cell r="T32" t="str">
            <v>MNC</v>
          </cell>
        </row>
        <row r="33">
          <cell r="F33" t="str">
            <v>47098302- EDC250618001</v>
          </cell>
          <cell r="T33" t="str">
            <v>MNC</v>
          </cell>
        </row>
        <row r="34">
          <cell r="F34" t="str">
            <v>47098207- EDC250618001</v>
          </cell>
          <cell r="T34" t="str">
            <v>MNC</v>
          </cell>
        </row>
        <row r="35">
          <cell r="F35" t="str">
            <v>47098204- EDC250617001</v>
          </cell>
          <cell r="T35" t="str">
            <v>MNC</v>
          </cell>
        </row>
        <row r="36">
          <cell r="F36" t="str">
            <v>47097359- EDC250617001</v>
          </cell>
          <cell r="T36" t="str">
            <v>IPO</v>
          </cell>
        </row>
        <row r="37">
          <cell r="F37" t="str">
            <v>47097374- EDC250613002</v>
          </cell>
          <cell r="T37" t="str">
            <v>MNC</v>
          </cell>
        </row>
        <row r="38">
          <cell r="F38" t="str">
            <v>47094754- EDC250604001</v>
          </cell>
          <cell r="T38" t="str">
            <v>PIE</v>
          </cell>
        </row>
        <row r="39">
          <cell r="F39" t="str">
            <v>47095577- EDC250530001</v>
          </cell>
          <cell r="T39" t="str">
            <v>PIE</v>
          </cell>
        </row>
        <row r="40">
          <cell r="F40" t="str">
            <v>47096873- EDC250527001</v>
          </cell>
          <cell r="T40" t="str">
            <v>PIE</v>
          </cell>
        </row>
        <row r="41">
          <cell r="F41" t="str">
            <v>47095226- EDC260403001</v>
          </cell>
          <cell r="T41" t="str">
            <v>MNC</v>
          </cell>
        </row>
        <row r="42">
          <cell r="F42" t="str">
            <v>47116574- EDC260402001</v>
          </cell>
          <cell r="T42" t="str">
            <v>PIE</v>
          </cell>
        </row>
        <row r="43">
          <cell r="F43" t="str">
            <v>47095936- EDC260401002</v>
          </cell>
          <cell r="T43" t="str">
            <v>MNC</v>
          </cell>
        </row>
        <row r="44">
          <cell r="F44" t="str">
            <v>47076663- EDC260119001</v>
          </cell>
          <cell r="T44" t="str">
            <v>IPO</v>
          </cell>
        </row>
        <row r="45">
          <cell r="F45" t="str">
            <v>47137340- EDC260527002</v>
          </cell>
          <cell r="T45" t="str">
            <v>IPO</v>
          </cell>
        </row>
        <row r="46">
          <cell r="F46" t="str">
            <v>47039894- EDC260518002</v>
          </cell>
        </row>
        <row r="56">
          <cell r="F56" t="str">
            <v xml:space="preserve"> 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Taffy Tian" id="{C0C349A4-B806-4496-BAC1-CC567DDF67FE}" userId="S::Taffy.Tian@cn.ey.com::b00ebb9a-650a-4d95-97ad-add746afae9f" providerId="AD"/>
</personList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2" dT="2026-01-09T02:32:40.85" personId="{C0C349A4-B806-4496-BAC1-CC567DDF67FE}" id="{D1E5AF55-A41B-46CB-96F9-FC4D56B5C081}">
    <text>含境外自有模板</text>
  </threadedComment>
  <threadedComment ref="P2" dT="2026-01-16T06:52:00.33" personId="{C0C349A4-B806-4496-BAC1-CC567DDF67FE}" id="{B8774BBC-5864-417E-8EEA-ED8A9733EC18}">
    <text>在函证网站筛选函证状态为“已发出”的数量</text>
  </threadedComment>
  <threadedComment ref="Q2" dT="2026-01-09T02:11:25.96" personId="{C0C349A4-B806-4496-BAC1-CC567DDF67FE}" id="{C7858ABD-B7E0-4DF5-A776-68817CA65871}">
    <text>在此记录重要的需处理事项，以免忘记；没有就不填</text>
  </threadedComment>
  <threadedComment ref="E6" dT="2026-01-09T02:21:05.35" personId="{C0C349A4-B806-4496-BAC1-CC567DDF67FE}" id="{EAC1B948-C051-4930-B6F5-DC5A3F929AB2}">
    <text>EDC填写信息收集表，只填存款、销户、借款及第14项，担保、资金池等不填等银行回复</text>
  </threadedComment>
  <threadedComment ref="H6" dT="2026-01-16T02:16:12.56" personId="{C0C349A4-B806-4496-BAC1-CC567DDF67FE}" id="{6972D72C-2F5C-499F-86CF-0DB8132B948B}">
    <text>包含一封证券模板</text>
  </threadedComment>
  <threadedComment ref="D9" dT="2026-01-09T02:29:27.02" personId="{C0C349A4-B806-4496-BAC1-CC567DDF67FE}" id="{1C81191B-24B9-4123-B778-81D6247074F7}">
    <text>仅摩根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2" dT="2026-06-03T03:20:44.82" personId="{C0C349A4-B806-4496-BAC1-CC567DDF67FE}" id="{299980A1-06AF-4E8B-81C3-A80F14DF02F3}">
    <text>最晚提交FIC复核的DDL</text>
  </threadedComment>
  <threadedComment ref="K2" dT="2026-01-08T12:05:13.73" personId="{C0C349A4-B806-4496-BAC1-CC567DDF67FE}" id="{B4B1F51C-9DB4-49ED-8418-0DB06052BB90}">
    <text>标注Y或者N</text>
  </threadedComment>
  <threadedComment ref="L2" dT="2026-01-08T10:41:55.95" personId="{C0C349A4-B806-4496-BAC1-CC567DDF67FE}" id="{C903B7B0-EADC-4FC3-9379-56B0CF737BE5}">
    <text xml:space="preserve">包含长期资产的新增、处置；借款的新增；费用TOD
</text>
  </threadedComment>
  <threadedComment ref="O2" dT="2026-06-03T07:52:48.39" personId="{C0C349A4-B806-4496-BAC1-CC567DDF67FE}" id="{39495547-2774-40D6-AD7B-B19E2EA2A578}">
    <text>指的是还未解决的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E2" dT="2026-01-20T14:09:34.58" personId="{C0C349A4-B806-4496-BAC1-CC567DDF67FE}" id="{066466A0-027E-46D3-A0F4-380FF3F0F921}">
    <text>此处写科目中文全称，后续需要发给项目组或发给客户的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file:///\\Cnshausrfl110\110shu00033\D\DJNewEaseG_AUD2023-12DJNewEaseGroup\&#12304;DNE%202025&#12305;" TargetMode="External"/><Relationship Id="rId13" Type="http://schemas.openxmlformats.org/officeDocument/2006/relationships/hyperlink" Target="file:///\\cnshausrfl110\110shu00013\U\UnisocShan_UnisocIPO\" TargetMode="External"/><Relationship Id="rId3" Type="http://schemas.openxmlformats.org/officeDocument/2006/relationships/hyperlink" Target="https://eychinamanaged.sharepoint.cn/sites/EY-CHANEL/Shared%20Documents/Forms/AllItems.aspx" TargetMode="External"/><Relationship Id="rId7" Type="http://schemas.openxmlformats.org/officeDocument/2006/relationships/hyperlink" Target="https://chinaclientportal.ey.com.cn/project/index" TargetMode="External"/><Relationship Id="rId12" Type="http://schemas.openxmlformats.org/officeDocument/2006/relationships/hyperlink" Target="../../../../../sune_wang_cn_ey_com/_layouts/15/onedrive.aspx?e=5%3Aab45611cf2da4b50afcfb14396a5803f&amp;CID=a0c7cc8d%2D882a%2D4ace%2Da158%2D2f0fce71f102&amp;id=%2Fpersonal%2Fsune%5Fwang%5Fcn%5Fey%5Fcom%2FDocuments%2FDesktop%2F2025%E5%B9%B4%E5%AE%A1%2FLEAR%20%E4%B8%AD%E5%9B%BD%2FCHC2025%E5%B9%B4%E5%AE%A1%2F07%2DCHC%20V1%2F07%2DCHC%20V1%2F01%2DCHC&amp;FolderCTID=0x0120007FF18DED731F9D44ADEBCC2438589757&amp;view=0" TargetMode="External"/><Relationship Id="rId2" Type="http://schemas.openxmlformats.org/officeDocument/2006/relationships/hyperlink" Target="file:///C:\Users\lexi_lv_cn_ey_com\_layouts\15\onedrive.aspx" TargetMode="External"/><Relationship Id="rId1" Type="http://schemas.openxmlformats.org/officeDocument/2006/relationships/hyperlink" Target="https://sites.ey.com/sites/PaoBank-FY2025314/Shared%20Documents/Forms/AllItems.aspx?id=%2Fsites%2FPaoBank%2DFY2025314%2FShared%20Documents%2FDatabase&amp;viewid=32e3c4db%2D71e6%2D43c8%2D8fb6%2D60092ba5f3e2&amp;e=5%3A2687e688b1914e8ab4baf33a0d8a7dd8&amp;sharingv2=true&amp;fromShare=true&amp;at=9&amp;CID=31212dc7%2D15f4%2D4c40%2D819c%2D68d97ed38703&amp;FolderCTID=0x01200099827604670C8E4C9BCB3CEBE2878856" TargetMode="External"/><Relationship Id="rId6" Type="http://schemas.openxmlformats.org/officeDocument/2006/relationships/hyperlink" Target="https://eychinamanaged.sharepoint.cn/sites/H3C_2022/Shared%20Documents/Forms/AllItems.aspx?id=%2Fsites%2FH3C_2022%2FShared%20Documents%2F2025%201231&amp;viewid=ecb97275-d694-4c2a-bdb7-7f4b08badf52&amp;e=5%3A6944fe38be134c868b29b8ea5d6e09c2&amp;CID=44f81c84-30d8-4c2f-a0f7-5cbe6b1e5626&amp;FolderCTID=0x0120004852B7C480621E4684DC7CBF77F7AC13" TargetMode="External"/><Relationship Id="rId11" Type="http://schemas.openxmlformats.org/officeDocument/2006/relationships/hyperlink" Target="../../../../../wang_han_wu_cn_ey_com/_layouts/15/onedrive.aspx?id=%2Fpersonal%2Fwang%5Fhan%5Fwu%5Fcn%5Fey%5Fcom%2FDocuments%2FDesktop%2F2026%2F2026%2D4%2F%E4%B8%8A%E6%B5%B7%E6%9D%8E%E5%B0%94%2FPBC%2F25PBC%2FTech&amp;viewid=3e8d9ea9%2D4d08%2D4e27%2Da17a%2D4798b1a109c0&amp;CID=b920eab1%2D24cc%2D4207%2D9dc4%2D72c7d0f4ccba&amp;FolderCTID=0x0120008FE119141A589E4D8A31C05B19ED02F5&amp;view=0" TargetMode="External"/><Relationship Id="rId5" Type="http://schemas.openxmlformats.org/officeDocument/2006/relationships/hyperlink" Target="https://eychinamanaged.sharepoint.cn/sites/Recbio/Shared%20Documents/Forms/AllItems.aspx?id=%2Fsites%2FRecbio%2FShared%20Documents%2FRecbio%5F20250930%5F%E9%A2%84%E5%AE%A1" TargetMode="External"/><Relationship Id="rId10" Type="http://schemas.openxmlformats.org/officeDocument/2006/relationships/hyperlink" Target="file:///\\Cnshausrfl120.ey.net\120shu05025\D\Don_4526624_AUD2021-12%20Dongguan%20Solum\Pantos\2025" TargetMode="External"/><Relationship Id="rId4" Type="http://schemas.openxmlformats.org/officeDocument/2006/relationships/hyperlink" Target="https://eychinamanaged.sharepoint.cn/sites/DNE/Shared%20Documents/Forms/AllItems.aspx?id=%2Fsites%2FDNE%2FShared%20Documents%2F2025%20DNE&amp;viewid=019bacc2%2Da073%2D4fc1%2Db18f%2Db21e99edeb6a" TargetMode="External"/><Relationship Id="rId9" Type="http://schemas.openxmlformats.org/officeDocument/2006/relationships/hyperlink" Target="file:///\\Cnshausrfl110.ey.net\110shu00044\J\Jia_4163656_Jiangsu%20Rec%20Biotechnology" TargetMode="External"/><Relationship Id="rId14" Type="http://schemas.openxmlformats.org/officeDocument/2006/relationships/hyperlink" Target="https://eychinamanaged.sharepoint.cn/sites/benu_2026/Shared%20Documents/Forms/AllItems.aspx?viewid=b2e30976%2Db24d%2D43ca%2D8b2b%2D8941b4db665b&amp;csf=1&amp;CID=c8f8ea8f%2Dc2b0%2D4f23%2Dbeb5%2Dee09264c8d39&amp;FolderCTID=0x0120003BC8DB5FCB27B64DAF051F77B4594650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12FC3-E030-4D3F-A1B0-346D0AAD7C89}">
  <sheetPr>
    <tabColor rgb="FF00B050"/>
  </sheetPr>
  <dimension ref="A1:Q37"/>
  <sheetViews>
    <sheetView showGridLines="0" zoomScale="85" zoomScaleNormal="85" workbookViewId="0">
      <pane xSplit="2" ySplit="4" topLeftCell="C11" activePane="bottomRight" state="frozen"/>
      <selection activeCell="D15" sqref="D15"/>
      <selection pane="topRight" activeCell="D15" sqref="D15"/>
      <selection pane="bottomLeft" activeCell="D15" sqref="D15"/>
      <selection pane="bottomRight" activeCell="B25" sqref="B25"/>
    </sheetView>
  </sheetViews>
  <sheetFormatPr defaultColWidth="8.88671875" defaultRowHeight="14.25" customHeight="1"/>
  <cols>
    <col min="1" max="1" width="1.88671875" style="1" customWidth="1"/>
    <col min="2" max="2" width="24" style="1" customWidth="1"/>
    <col min="3" max="3" width="11.5546875" style="1" customWidth="1"/>
    <col min="4" max="4" width="7.88671875" style="1" bestFit="1" customWidth="1"/>
    <col min="5" max="5" width="7.88671875" style="1" customWidth="1"/>
    <col min="6" max="6" width="9.109375" style="1" customWidth="1"/>
    <col min="7" max="7" width="11" style="1" bestFit="1" customWidth="1"/>
    <col min="8" max="9" width="10.109375" style="1" customWidth="1"/>
    <col min="10" max="11" width="9.88671875" style="1" customWidth="1"/>
    <col min="12" max="13" width="12.5546875" style="1" customWidth="1"/>
    <col min="14" max="15" width="10.88671875" style="1" customWidth="1"/>
    <col min="16" max="16" width="11.88671875" style="1" bestFit="1" customWidth="1"/>
    <col min="17" max="16371" width="8.88671875" style="1"/>
    <col min="16372" max="16372" width="8.88671875" style="1" customWidth="1"/>
    <col min="16373" max="16384" width="8.88671875" style="1"/>
  </cols>
  <sheetData>
    <row r="1" spans="2:17" ht="13.2"/>
    <row r="2" spans="2:17" ht="16.2">
      <c r="B2" s="159" t="s">
        <v>0</v>
      </c>
      <c r="C2" s="160">
        <f ca="1">TODAY()</f>
        <v>46176</v>
      </c>
      <c r="D2" s="32"/>
      <c r="E2" s="32"/>
      <c r="F2" s="32"/>
    </row>
    <row r="3" spans="2:17" ht="16.8" thickBot="1">
      <c r="B3" s="158" t="s">
        <v>227</v>
      </c>
      <c r="C3" s="33"/>
      <c r="D3" s="33"/>
      <c r="E3" s="33"/>
      <c r="F3" s="33"/>
    </row>
    <row r="4" spans="2:17" ht="13.2">
      <c r="B4" s="8" t="s">
        <v>1</v>
      </c>
      <c r="C4" s="9" t="s">
        <v>221</v>
      </c>
      <c r="D4" s="9" t="s">
        <v>2</v>
      </c>
      <c r="E4" s="9" t="s">
        <v>225</v>
      </c>
      <c r="F4" s="142" t="s">
        <v>226</v>
      </c>
      <c r="G4" s="145" t="s">
        <v>3</v>
      </c>
      <c r="H4" s="14" t="str">
        <f>底稿进度!K2</f>
        <v>BKD</v>
      </c>
      <c r="I4" s="14" t="str">
        <f>底稿进度!L2</f>
        <v>TOD</v>
      </c>
      <c r="J4" s="14" t="s">
        <v>230</v>
      </c>
      <c r="K4" s="14" t="str">
        <f>底稿进度!N2</f>
        <v>其他程序</v>
      </c>
      <c r="L4" s="14" t="s">
        <v>4</v>
      </c>
      <c r="M4" s="14" t="s">
        <v>212</v>
      </c>
      <c r="N4" s="14" t="s">
        <v>213</v>
      </c>
      <c r="O4" s="14" t="str">
        <f>底稿进度!V2</f>
        <v>首次交付</v>
      </c>
      <c r="P4" s="42" t="str">
        <f>底稿进度!W2</f>
        <v>最终交付</v>
      </c>
      <c r="Q4" s="1" t="s">
        <v>228</v>
      </c>
    </row>
    <row r="5" spans="2:17" ht="13.8">
      <c r="B5" s="10" t="s">
        <v>6</v>
      </c>
      <c r="C5" s="7" t="s">
        <v>5</v>
      </c>
      <c r="D5" s="7">
        <v>1238.5999999999999</v>
      </c>
      <c r="E5" s="7">
        <f>_xlfn.XLOOKUP(B5,'[1]项目工时-项目口径'!$B:$B,'[1]项目工时-项目口径'!$J:$J)</f>
        <v>814</v>
      </c>
      <c r="F5" s="144">
        <f>D5-E5</f>
        <v>424.59999999999991</v>
      </c>
      <c r="G5" s="141">
        <f>COUNTIF(底稿进度!B:B,看板!B5)</f>
        <v>3</v>
      </c>
      <c r="H5" s="2">
        <f>COUNTIFS(底稿进度!B:B,看板!B5,底稿进度!K:K,"Y")</f>
        <v>3</v>
      </c>
      <c r="I5" s="2">
        <f>COUNTIFS(底稿进度!B:B,看板!B5,底稿进度!L:L,"Y")</f>
        <v>0</v>
      </c>
      <c r="J5" s="2">
        <f>COUNTIFS(底稿进度!B:B,看板!B5,底稿进度!M:M,"Y")</f>
        <v>3</v>
      </c>
      <c r="K5" s="2">
        <f>COUNTIFS(底稿进度!B:B,看板!B5,底稿进度!N:N,"Y")</f>
        <v>3</v>
      </c>
      <c r="L5" s="2">
        <f>COUNTIFS(底稿进度!B:B,看板!B5,底稿进度!S:S,"Y")</f>
        <v>3</v>
      </c>
      <c r="M5" s="2">
        <f>COUNTIFS(底稿进度!B:B,看板!B5,底稿进度!T:T,"Y")</f>
        <v>3</v>
      </c>
      <c r="N5" s="2">
        <f>COUNTIFS(底稿进度!B:B,看板!B5,底稿进度!U:U,"Y")</f>
        <v>3</v>
      </c>
      <c r="O5" s="2">
        <f>COUNTIFS(底稿进度!B:B,看板!B5,底稿进度!V:V,"Y")</f>
        <v>3</v>
      </c>
      <c r="P5" s="149">
        <f>COUNTIFS(底稿进度!B:B,看板!B5,底稿进度!W:W,"Y")</f>
        <v>3</v>
      </c>
      <c r="Q5" s="147" t="str">
        <f ca="1">IF((_xlfn.XLOOKUP(B5,项目基础信息!B:B,项目基础信息!G:G)-$C$2)&lt;0,"不适用",(_xlfn.XLOOKUP(B5,项目基础信息!B:B,项目基础信息!G:G)-$C$2))</f>
        <v>不适用</v>
      </c>
    </row>
    <row r="6" spans="2:17" ht="13.8">
      <c r="B6" s="10" t="s">
        <v>8</v>
      </c>
      <c r="C6" s="7" t="s">
        <v>7</v>
      </c>
      <c r="D6" s="7">
        <v>667.7</v>
      </c>
      <c r="E6" s="7">
        <f>_xlfn.XLOOKUP(B6,'[1]项目工时-项目口径'!$B:$B,'[1]项目工时-项目口径'!$J:$J)</f>
        <v>315.5</v>
      </c>
      <c r="F6" s="144">
        <f t="shared" ref="F6:F16" si="0">D6-E6</f>
        <v>352.20000000000005</v>
      </c>
      <c r="G6" s="141">
        <f>COUNTIF(底稿进度!B:B,看板!B6)</f>
        <v>4</v>
      </c>
      <c r="H6" s="2">
        <f>COUNTIFS(底稿进度!B:B,看板!B6,底稿进度!K:K,"Y")</f>
        <v>4</v>
      </c>
      <c r="I6" s="2">
        <f>COUNTIFS(底稿进度!B:B,看板!B6,底稿进度!L:L,"Y")</f>
        <v>1</v>
      </c>
      <c r="J6" s="2">
        <f>COUNTIFS(底稿进度!B:B,看板!B6,底稿进度!M:M,"Y")</f>
        <v>1</v>
      </c>
      <c r="K6" s="2">
        <f>COUNTIFS(底稿进度!B:B,看板!B6,底稿进度!N:N,"Y")</f>
        <v>4</v>
      </c>
      <c r="L6" s="2">
        <f>COUNTIFS(底稿进度!B:B,看板!B6,底稿进度!S:S,"Y")</f>
        <v>4</v>
      </c>
      <c r="M6" s="2">
        <f>COUNTIFS(底稿进度!B:B,看板!B6,底稿进度!T:T,"Y")</f>
        <v>4</v>
      </c>
      <c r="N6" s="2">
        <f>COUNTIFS(底稿进度!B:B,看板!B6,底稿进度!U:U,"Y")</f>
        <v>4</v>
      </c>
      <c r="O6" s="2">
        <f>COUNTIFS(底稿进度!B:B,看板!B6,底稿进度!V:V,"Y")</f>
        <v>4</v>
      </c>
      <c r="P6" s="149">
        <f>COUNTIFS(底稿进度!B:B,看板!B6,底稿进度!W:W,"Y")</f>
        <v>4</v>
      </c>
      <c r="Q6" s="147" t="str">
        <f ca="1">IF((_xlfn.XLOOKUP(B6,项目基础信息!B:B,项目基础信息!G:G)-$C$2)&lt;0,"不适用",(_xlfn.XLOOKUP(B6,项目基础信息!B:B,项目基础信息!G:G)-$C$2))</f>
        <v>不适用</v>
      </c>
    </row>
    <row r="7" spans="2:17" ht="13.8">
      <c r="B7" s="10" t="s">
        <v>10</v>
      </c>
      <c r="C7" s="7" t="s">
        <v>9</v>
      </c>
      <c r="D7" s="7">
        <v>265.64999999999998</v>
      </c>
      <c r="E7" s="7">
        <f>_xlfn.XLOOKUP(B7,'[1]项目工时-项目口径'!$B:$B,'[1]项目工时-项目口径'!$J:$J)</f>
        <v>255</v>
      </c>
      <c r="F7" s="144">
        <f t="shared" si="0"/>
        <v>10.649999999999977</v>
      </c>
      <c r="G7" s="141">
        <f>COUNTIF(底稿进度!B:B,看板!B7)</f>
        <v>11</v>
      </c>
      <c r="H7" s="2">
        <f>COUNTIFS(底稿进度!B:B,看板!B7,底稿进度!K:K,"Y")</f>
        <v>11</v>
      </c>
      <c r="I7" s="2">
        <f>COUNTIFS(底稿进度!B:B,看板!B7,底稿进度!L:L,"Y")</f>
        <v>0</v>
      </c>
      <c r="J7" s="2">
        <f>COUNTIFS(底稿进度!B:B,看板!B7,底稿进度!M:M,"Y")</f>
        <v>1</v>
      </c>
      <c r="K7" s="2">
        <f>COUNTIFS(底稿进度!B:B,看板!B7,底稿进度!N:N,"Y")</f>
        <v>1</v>
      </c>
      <c r="L7" s="2">
        <f>COUNTIFS(底稿进度!B:B,看板!B7,底稿进度!S:S,"Y")</f>
        <v>11</v>
      </c>
      <c r="M7" s="2">
        <f>COUNTIFS(底稿进度!B:B,看板!B7,底稿进度!T:T,"Y")</f>
        <v>11</v>
      </c>
      <c r="N7" s="2">
        <f>COUNTIFS(底稿进度!B:B,看板!B7,底稿进度!U:U,"Y")</f>
        <v>11</v>
      </c>
      <c r="O7" s="2">
        <f>COUNTIFS(底稿进度!B:B,看板!B7,底稿进度!V:V,"Y")</f>
        <v>11</v>
      </c>
      <c r="P7" s="149">
        <f>COUNTIFS(底稿进度!B:B,看板!B7,底稿进度!W:W,"Y")</f>
        <v>11</v>
      </c>
      <c r="Q7" s="147" t="str">
        <f ca="1">IF((_xlfn.XLOOKUP(B7,项目基础信息!B:B,项目基础信息!G:G)-$C$2)&lt;0,"不适用",(_xlfn.XLOOKUP(B7,项目基础信息!B:B,项目基础信息!G:G)-$C$2))</f>
        <v>不适用</v>
      </c>
    </row>
    <row r="8" spans="2:17" ht="13.8">
      <c r="B8" s="10" t="s">
        <v>12</v>
      </c>
      <c r="C8" s="7" t="s">
        <v>11</v>
      </c>
      <c r="D8" s="7">
        <v>1882.1</v>
      </c>
      <c r="E8" s="7">
        <f>_xlfn.XLOOKUP(B8,'[1]项目工时-项目口径'!$B:$B,'[1]项目工时-项目口径'!$J:$J)</f>
        <v>1879.5</v>
      </c>
      <c r="F8" s="144">
        <f t="shared" si="0"/>
        <v>2.5999999999999091</v>
      </c>
      <c r="G8" s="141">
        <f>COUNTIF(底稿进度!B:B,看板!B8)</f>
        <v>94</v>
      </c>
      <c r="H8" s="2">
        <f>COUNTIFS(底稿进度!B:B,看板!B8,底稿进度!K:K,"Y")</f>
        <v>94</v>
      </c>
      <c r="I8" s="2">
        <f>COUNTIFS(底稿进度!B:B,看板!B8,底稿进度!L:L,"Y")</f>
        <v>81</v>
      </c>
      <c r="J8" s="2">
        <f>COUNTIFS(底稿进度!B:B,看板!B8,底稿进度!M:M,"Y")</f>
        <v>3</v>
      </c>
      <c r="K8" s="2">
        <f>COUNTIFS(底稿进度!B:B,看板!B8,底稿进度!N:N,"Y")</f>
        <v>92</v>
      </c>
      <c r="L8" s="2">
        <f>COUNTIFS(底稿进度!B:B,看板!B8,底稿进度!S:S,"Y")</f>
        <v>94</v>
      </c>
      <c r="M8" s="2">
        <f>COUNTIFS(底稿进度!B:B,看板!B8,底稿进度!T:T,"Y")</f>
        <v>94</v>
      </c>
      <c r="N8" s="2">
        <f>COUNTIFS(底稿进度!B:B,看板!B8,底稿进度!U:U,"Y")</f>
        <v>94</v>
      </c>
      <c r="O8" s="2">
        <f>COUNTIFS(底稿进度!B:B,看板!B8,底稿进度!V:V,"Y")</f>
        <v>94</v>
      </c>
      <c r="P8" s="149">
        <f>COUNTIFS(底稿进度!B:B,看板!B8,底稿进度!W:W,"Y")</f>
        <v>94</v>
      </c>
      <c r="Q8" s="147" t="str">
        <f ca="1">IF((_xlfn.XLOOKUP(B8,项目基础信息!B:B,项目基础信息!G:G)-$C$2)&lt;0,"不适用",(_xlfn.XLOOKUP(B8,项目基础信息!B:B,项目基础信息!G:G)-$C$2))</f>
        <v>不适用</v>
      </c>
    </row>
    <row r="9" spans="2:17" ht="13.8">
      <c r="B9" s="10" t="s">
        <v>14</v>
      </c>
      <c r="C9" s="7" t="s">
        <v>13</v>
      </c>
      <c r="D9" s="7">
        <v>201.3</v>
      </c>
      <c r="E9" s="7">
        <f>_xlfn.XLOOKUP(B9,'[1]项目工时-项目口径'!$B:$B,'[1]项目工时-项目口径'!$J:$J)</f>
        <v>187.5</v>
      </c>
      <c r="F9" s="144">
        <f t="shared" si="0"/>
        <v>13.800000000000011</v>
      </c>
      <c r="G9" s="141">
        <f>COUNTIF(底稿进度!B:B,看板!B9)</f>
        <v>15</v>
      </c>
      <c r="H9" s="2">
        <f>COUNTIFS(底稿进度!B:B,看板!B9,底稿进度!K:K,"Y")</f>
        <v>15</v>
      </c>
      <c r="I9" s="2">
        <f>COUNTIFS(底稿进度!B:B,看板!B9,底稿进度!L:L,"Y")</f>
        <v>1</v>
      </c>
      <c r="J9" s="2">
        <f>COUNTIFS(底稿进度!B:B,看板!B9,底稿进度!M:M,"Y")</f>
        <v>5</v>
      </c>
      <c r="K9" s="2">
        <f>COUNTIFS(底稿进度!B:B,看板!B9,底稿进度!N:N,"Y")</f>
        <v>6</v>
      </c>
      <c r="L9" s="2">
        <f>COUNTIFS(底稿进度!B:B,看板!B9,底稿进度!S:S,"Y")</f>
        <v>15</v>
      </c>
      <c r="M9" s="2">
        <f>COUNTIFS(底稿进度!B:B,看板!B9,底稿进度!T:T,"Y")</f>
        <v>15</v>
      </c>
      <c r="N9" s="2">
        <f>COUNTIFS(底稿进度!B:B,看板!B9,底稿进度!U:U,"Y")</f>
        <v>15</v>
      </c>
      <c r="O9" s="2">
        <f>COUNTIFS(底稿进度!B:B,看板!B9,底稿进度!V:V,"Y")</f>
        <v>15</v>
      </c>
      <c r="P9" s="149">
        <f>COUNTIFS(底稿进度!B:B,看板!B9,底稿进度!W:W,"Y")</f>
        <v>15</v>
      </c>
      <c r="Q9" s="147" t="str">
        <f ca="1">IF((_xlfn.XLOOKUP(B9,项目基础信息!B:B,项目基础信息!G:G)-$C$2)&lt;0,"不适用",(_xlfn.XLOOKUP(B9,项目基础信息!B:B,项目基础信息!G:G)-$C$2))</f>
        <v>不适用</v>
      </c>
    </row>
    <row r="10" spans="2:17" ht="13.8">
      <c r="B10" s="10" t="s">
        <v>16</v>
      </c>
      <c r="C10" s="7" t="s">
        <v>15</v>
      </c>
      <c r="D10" s="7">
        <v>565.62</v>
      </c>
      <c r="E10" s="7">
        <f>_xlfn.XLOOKUP(B10,'[1]项目工时-项目口径'!$B:$B,'[1]项目工时-项目口径'!$J:$J)</f>
        <v>604</v>
      </c>
      <c r="F10" s="144">
        <f t="shared" si="0"/>
        <v>-38.379999999999995</v>
      </c>
      <c r="G10" s="141">
        <f>COUNTIF(底稿进度!B:B,看板!B10)</f>
        <v>42</v>
      </c>
      <c r="H10" s="2">
        <f>COUNTIFS(底稿进度!B:B,看板!B10,底稿进度!K:K,"Y")</f>
        <v>42</v>
      </c>
      <c r="I10" s="2">
        <f>COUNTIFS(底稿进度!B:B,看板!B10,底稿进度!L:L,"Y")</f>
        <v>3</v>
      </c>
      <c r="J10" s="2">
        <f>COUNTIFS(底稿进度!B:B,看板!B10,底稿进度!M:M,"Y")</f>
        <v>24</v>
      </c>
      <c r="K10" s="2">
        <f>COUNTIFS(底稿进度!B:B,看板!B10,底稿进度!N:N,"Y")</f>
        <v>39</v>
      </c>
      <c r="L10" s="2">
        <f>COUNTIFS(底稿进度!B:B,看板!B10,底稿进度!S:S,"Y")</f>
        <v>42</v>
      </c>
      <c r="M10" s="2">
        <f>COUNTIFS(底稿进度!B:B,看板!B10,底稿进度!T:T,"Y")</f>
        <v>42</v>
      </c>
      <c r="N10" s="2">
        <f>COUNTIFS(底稿进度!B:B,看板!B10,底稿进度!U:U,"Y")</f>
        <v>42</v>
      </c>
      <c r="O10" s="2">
        <f>COUNTIFS(底稿进度!B:B,看板!B10,底稿进度!V:V,"Y")</f>
        <v>42</v>
      </c>
      <c r="P10" s="149">
        <f>COUNTIFS(底稿进度!B:B,看板!B10,底稿进度!W:W,"Y")</f>
        <v>42</v>
      </c>
      <c r="Q10" s="147" t="str">
        <f ca="1">IF((_xlfn.XLOOKUP(B10,项目基础信息!B:B,项目基础信息!G:G)-$C$2)&lt;0,"不适用",(_xlfn.XLOOKUP(B10,项目基础信息!B:B,项目基础信息!G:G)-$C$2))</f>
        <v>不适用</v>
      </c>
    </row>
    <row r="11" spans="2:17" ht="13.8">
      <c r="B11" s="10" t="s">
        <v>18</v>
      </c>
      <c r="C11" s="7" t="s">
        <v>17</v>
      </c>
      <c r="D11" s="7">
        <v>45.1</v>
      </c>
      <c r="E11" s="7">
        <f>_xlfn.XLOOKUP(B11,'[1]项目工时-项目口径'!$B:$B,'[1]项目工时-项目口径'!$J:$J)</f>
        <v>42.5</v>
      </c>
      <c r="F11" s="144">
        <f t="shared" si="0"/>
        <v>2.6000000000000014</v>
      </c>
      <c r="G11" s="141">
        <f>COUNTIF(底稿进度!B:B,看板!B11)</f>
        <v>3</v>
      </c>
      <c r="H11" s="2">
        <f>COUNTIFS(底稿进度!B:B,看板!B11,底稿进度!K:K,"Y")</f>
        <v>3</v>
      </c>
      <c r="I11" s="2">
        <f>COUNTIFS(底稿进度!B:B,看板!B11,底稿进度!L:L,"Y")</f>
        <v>1</v>
      </c>
      <c r="J11" s="2">
        <f>COUNTIFS(底稿进度!B:B,看板!B11,底稿进度!M:M,"Y")</f>
        <v>1</v>
      </c>
      <c r="K11" s="2">
        <f>COUNTIFS(底稿进度!B:B,看板!B11,底稿进度!N:N,"Y")</f>
        <v>3</v>
      </c>
      <c r="L11" s="2">
        <f>COUNTIFS(底稿进度!B:B,看板!B11,底稿进度!S:S,"Y")</f>
        <v>3</v>
      </c>
      <c r="M11" s="2">
        <f>COUNTIFS(底稿进度!B:B,看板!B11,底稿进度!T:T,"Y")</f>
        <v>3</v>
      </c>
      <c r="N11" s="2">
        <f>COUNTIFS(底稿进度!B:B,看板!B11,底稿进度!U:U,"Y")</f>
        <v>3</v>
      </c>
      <c r="O11" s="2">
        <f>COUNTIFS(底稿进度!B:B,看板!B11,底稿进度!V:V,"Y")</f>
        <v>3</v>
      </c>
      <c r="P11" s="149">
        <f>COUNTIFS(底稿进度!B:B,看板!B11,底稿进度!W:W,"Y")</f>
        <v>3</v>
      </c>
      <c r="Q11" s="147" t="str">
        <f ca="1">IF((_xlfn.XLOOKUP(B11,项目基础信息!B:B,项目基础信息!G:G)-$C$2)&lt;0,"不适用",(_xlfn.XLOOKUP(B11,项目基础信息!B:B,项目基础信息!G:G)-$C$2))</f>
        <v>不适用</v>
      </c>
    </row>
    <row r="12" spans="2:17" ht="13.8">
      <c r="B12" s="10" t="s">
        <v>20</v>
      </c>
      <c r="C12" s="7" t="s">
        <v>19</v>
      </c>
      <c r="D12" s="7">
        <v>148.5</v>
      </c>
      <c r="E12" s="7">
        <f>_xlfn.XLOOKUP(B12,'[1]项目工时-项目口径'!$B:$B,'[1]项目工时-项目口径'!$J:$J)</f>
        <v>102</v>
      </c>
      <c r="F12" s="144">
        <f t="shared" si="0"/>
        <v>46.5</v>
      </c>
      <c r="G12" s="141">
        <f>COUNTIF(底稿进度!B:B,看板!B12)</f>
        <v>8</v>
      </c>
      <c r="H12" s="2">
        <f>COUNTIFS(底稿进度!B:B,看板!B12,底稿进度!K:K,"Y")</f>
        <v>8</v>
      </c>
      <c r="I12" s="2">
        <f>COUNTIFS(底稿进度!B:B,看板!B12,底稿进度!L:L,"Y")</f>
        <v>2</v>
      </c>
      <c r="J12" s="2">
        <f>COUNTIFS(底稿进度!B:B,看板!B12,底稿进度!M:M,"Y")</f>
        <v>2</v>
      </c>
      <c r="K12" s="2">
        <f>COUNTIFS(底稿进度!B:B,看板!B12,底稿进度!N:N,"Y")</f>
        <v>4</v>
      </c>
      <c r="L12" s="2">
        <f>COUNTIFS(底稿进度!B:B,看板!B12,底稿进度!S:S,"Y")</f>
        <v>8</v>
      </c>
      <c r="M12" s="2">
        <f>COUNTIFS(底稿进度!B:B,看板!B12,底稿进度!T:T,"Y")</f>
        <v>8</v>
      </c>
      <c r="N12" s="2">
        <f>COUNTIFS(底稿进度!B:B,看板!B12,底稿进度!U:U,"Y")</f>
        <v>8</v>
      </c>
      <c r="O12" s="2">
        <f>COUNTIFS(底稿进度!B:B,看板!B12,底稿进度!V:V,"Y")</f>
        <v>8</v>
      </c>
      <c r="P12" s="149">
        <f>COUNTIFS(底稿进度!B:B,看板!B12,底稿进度!W:W,"Y")</f>
        <v>8</v>
      </c>
      <c r="Q12" s="147" t="str">
        <f ca="1">IF((_xlfn.XLOOKUP(B12,项目基础信息!B:B,项目基础信息!G:G)-$C$2)&lt;0,"不适用",(_xlfn.XLOOKUP(B12,项目基础信息!B:B,项目基础信息!G:G)-$C$2))</f>
        <v>不适用</v>
      </c>
    </row>
    <row r="13" spans="2:17" ht="13.8">
      <c r="B13" s="10" t="s">
        <v>222</v>
      </c>
      <c r="C13" s="7" t="s">
        <v>223</v>
      </c>
      <c r="D13" s="7">
        <v>36.299999999999997</v>
      </c>
      <c r="E13" s="7">
        <f>_xlfn.XLOOKUP(B13,'[1]项目工时-项目口径'!$B:$B,'[1]项目工时-项目口径'!$J:$J)</f>
        <v>32</v>
      </c>
      <c r="F13" s="144">
        <f t="shared" si="0"/>
        <v>4.2999999999999972</v>
      </c>
      <c r="G13" s="141">
        <f>COUNTIF(底稿进度!B:B,看板!B13)</f>
        <v>3</v>
      </c>
      <c r="H13" s="2">
        <f>COUNTIFS(底稿进度!B:B,看板!B13,底稿进度!K:K,"Y")</f>
        <v>3</v>
      </c>
      <c r="I13" s="2">
        <f>COUNTIFS(底稿进度!B:B,看板!B13,底稿进度!L:L,"Y")</f>
        <v>0</v>
      </c>
      <c r="J13" s="2">
        <f>COUNTIFS(底稿进度!B:B,看板!B13,底稿进度!M:M,"Y")</f>
        <v>0</v>
      </c>
      <c r="K13" s="2">
        <f>COUNTIFS(底稿进度!B:B,看板!B13,底稿进度!N:N,"Y")</f>
        <v>0</v>
      </c>
      <c r="L13" s="2">
        <f>COUNTIFS(底稿进度!B:B,看板!B13,底稿进度!S:S,"Y")</f>
        <v>3</v>
      </c>
      <c r="M13" s="2">
        <f>COUNTIFS(底稿进度!B:B,看板!B13,底稿进度!T:T,"Y")</f>
        <v>3</v>
      </c>
      <c r="N13" s="2">
        <f>COUNTIFS(底稿进度!B:B,看板!B13,底稿进度!U:U,"Y")</f>
        <v>3</v>
      </c>
      <c r="O13" s="2">
        <f>COUNTIFS(底稿进度!B:B,看板!B13,底稿进度!V:V,"Y")</f>
        <v>3</v>
      </c>
      <c r="P13" s="149">
        <f>COUNTIFS(底稿进度!B:B,看板!B13,底稿进度!W:W,"Y")</f>
        <v>3</v>
      </c>
      <c r="Q13" s="147" t="str">
        <f ca="1">IF((_xlfn.XLOOKUP(B13,项目基础信息!B:B,项目基础信息!G:G)-$C$2)&lt;0,"不适用",(_xlfn.XLOOKUP(B13,项目基础信息!B:B,项目基础信息!G:G)-$C$2))</f>
        <v>不适用</v>
      </c>
    </row>
    <row r="14" spans="2:17" ht="13.8">
      <c r="B14" s="10" t="s">
        <v>102</v>
      </c>
      <c r="C14" s="7" t="s">
        <v>103</v>
      </c>
      <c r="D14" s="7">
        <v>41.8</v>
      </c>
      <c r="E14" s="7">
        <f>_xlfn.XLOOKUP(B14,'[1]项目工时-项目口径'!$B:$B,'[1]项目工时-项目口径'!$J:$J)</f>
        <v>34</v>
      </c>
      <c r="F14" s="144">
        <f t="shared" si="0"/>
        <v>7.7999999999999972</v>
      </c>
      <c r="G14" s="141">
        <f>COUNTIF(底稿进度!B:B,看板!B14)</f>
        <v>4</v>
      </c>
      <c r="H14" s="2">
        <f>COUNTIFS(底稿进度!B:B,看板!B14,底稿进度!K:K,"Y")</f>
        <v>4</v>
      </c>
      <c r="I14" s="2">
        <f>COUNTIFS(底稿进度!B:B,看板!B14,底稿进度!L:L,"Y")</f>
        <v>0</v>
      </c>
      <c r="J14" s="2">
        <f>COUNTIFS(底稿进度!B:B,看板!B14,底稿进度!M:M,"Y")</f>
        <v>0</v>
      </c>
      <c r="K14" s="2">
        <f>COUNTIFS(底稿进度!B:B,看板!B14,底稿进度!N:N,"Y")</f>
        <v>0</v>
      </c>
      <c r="L14" s="2">
        <f>COUNTIFS(底稿进度!B:B,看板!B14,底稿进度!S:S,"Y")</f>
        <v>4</v>
      </c>
      <c r="M14" s="2">
        <f>COUNTIFS(底稿进度!B:B,看板!B14,底稿进度!T:T,"Y")</f>
        <v>4</v>
      </c>
      <c r="N14" s="2">
        <f>COUNTIFS(底稿进度!B:B,看板!B14,底稿进度!U:U,"Y")</f>
        <v>4</v>
      </c>
      <c r="O14" s="2">
        <f>COUNTIFS(底稿进度!B:B,看板!B14,底稿进度!V:V,"Y")</f>
        <v>4</v>
      </c>
      <c r="P14" s="149">
        <f>COUNTIFS(底稿进度!B:B,看板!B14,底稿进度!W:W,"Y")</f>
        <v>4</v>
      </c>
      <c r="Q14" s="147" t="str">
        <f ca="1">IF((_xlfn.XLOOKUP(B14,项目基础信息!B:B,项目基础信息!G:G)-$C$2)&lt;0,"不适用",(_xlfn.XLOOKUP(B14,项目基础信息!B:B,项目基础信息!G:G)-$C$2))</f>
        <v>不适用</v>
      </c>
    </row>
    <row r="15" spans="2:17" ht="13.8">
      <c r="B15" s="10" t="s">
        <v>107</v>
      </c>
      <c r="C15" s="7" t="s">
        <v>224</v>
      </c>
      <c r="D15" s="7">
        <v>494.56</v>
      </c>
      <c r="E15" s="7">
        <f>_xlfn.XLOOKUP(B15,'[1]项目工时-项目口径'!$B:$B,'[1]项目工时-项目口径'!$J:$J)</f>
        <v>485</v>
      </c>
      <c r="F15" s="144">
        <f t="shared" si="0"/>
        <v>9.5600000000000023</v>
      </c>
      <c r="G15" s="141">
        <f>COUNTIF(底稿进度!B:B,看板!B15)</f>
        <v>48</v>
      </c>
      <c r="H15" s="2">
        <f>COUNTIFS(底稿进度!B:B,看板!B15,底稿进度!K:K,"Y")</f>
        <v>48</v>
      </c>
      <c r="I15" s="2">
        <f>COUNTIFS(底稿进度!B:B,看板!B15,底稿进度!L:L,"Y")</f>
        <v>4</v>
      </c>
      <c r="J15" s="2">
        <f>COUNTIFS(底稿进度!B:B,看板!B15,底稿进度!M:M,"Y")</f>
        <v>1</v>
      </c>
      <c r="K15" s="2">
        <f>COUNTIFS(底稿进度!B:B,看板!B15,底稿进度!N:N,"Y")</f>
        <v>43</v>
      </c>
      <c r="L15" s="2">
        <f>COUNTIFS(底稿进度!B:B,看板!B15,底稿进度!S:S,"Y")</f>
        <v>48</v>
      </c>
      <c r="M15" s="2">
        <f>COUNTIFS(底稿进度!B:B,看板!B15,底稿进度!T:T,"Y")</f>
        <v>48</v>
      </c>
      <c r="N15" s="2">
        <f>COUNTIFS(底稿进度!B:B,看板!B15,底稿进度!U:U,"Y")</f>
        <v>48</v>
      </c>
      <c r="O15" s="2">
        <f>COUNTIFS(底稿进度!B:B,看板!B15,底稿进度!V:V,"Y")</f>
        <v>48</v>
      </c>
      <c r="P15" s="149">
        <f>COUNTIFS(底稿进度!B:B,看板!B15,底稿进度!W:W,"Y")</f>
        <v>48</v>
      </c>
      <c r="Q15" s="147" t="str">
        <f ca="1">IF((_xlfn.XLOOKUP(B15,项目基础信息!B:B,项目基础信息!G:G)-$C$2)&lt;0,"不适用",(_xlfn.XLOOKUP(B15,项目基础信息!B:B,项目基础信息!G:G)-$C$2))</f>
        <v>不适用</v>
      </c>
    </row>
    <row r="16" spans="2:17" ht="13.8">
      <c r="B16" s="10" t="s">
        <v>207</v>
      </c>
      <c r="C16" s="7" t="s">
        <v>229</v>
      </c>
      <c r="D16" s="7">
        <v>729.6</v>
      </c>
      <c r="E16" s="7"/>
      <c r="F16" s="144">
        <f t="shared" si="0"/>
        <v>729.6</v>
      </c>
      <c r="G16" s="141">
        <f>COUNTIF(底稿进度!B:B,看板!B16)</f>
        <v>4</v>
      </c>
      <c r="H16" s="2">
        <f>COUNTIFS(底稿进度!B:B,看板!B16,底稿进度!K:K,"Y")</f>
        <v>0</v>
      </c>
      <c r="I16" s="2">
        <f>COUNTIFS(底稿进度!B:B,看板!B16,底稿进度!L:L,"Y")</f>
        <v>0</v>
      </c>
      <c r="J16" s="2">
        <f>COUNTIFS(底稿进度!B:B,看板!B16,底稿进度!M:M,"Y")</f>
        <v>0</v>
      </c>
      <c r="K16" s="2">
        <f>COUNTIFS(底稿进度!B:B,看板!B16,底稿进度!N:N,"Y")</f>
        <v>0</v>
      </c>
      <c r="L16" s="2">
        <f>COUNTIFS(底稿进度!B:B,看板!B16,底稿进度!S:S,"Y")</f>
        <v>0</v>
      </c>
      <c r="M16" s="2">
        <f>COUNTIFS(底稿进度!B:B,看板!B16,底稿进度!T:T,"Y")</f>
        <v>0</v>
      </c>
      <c r="N16" s="2">
        <f>COUNTIFS(底稿进度!B:B,看板!B16,底稿进度!U:U,"Y")</f>
        <v>0</v>
      </c>
      <c r="O16" s="2">
        <f>COUNTIFS(底稿进度!B:B,看板!B16,底稿进度!V:V,"Y")</f>
        <v>0</v>
      </c>
      <c r="P16" s="149">
        <f>COUNTIFS(底稿进度!B:B,看板!B16,底稿进度!W:W,"Y")</f>
        <v>0</v>
      </c>
      <c r="Q16" s="148">
        <f ca="1">IF((_xlfn.XLOOKUP(B16,项目基础信息!B:B,项目基础信息!G:G)-$C$2)&lt;0,"不适用",(_xlfn.XLOOKUP(B16,项目基础信息!B:B,项目基础信息!G:G)-$C$2))</f>
        <v>15</v>
      </c>
    </row>
    <row r="17" spans="1:17" ht="13.2">
      <c r="B17" s="10"/>
      <c r="C17" s="7"/>
      <c r="D17" s="7"/>
      <c r="E17" s="7"/>
      <c r="F17" s="143"/>
      <c r="G17" s="139"/>
      <c r="H17" s="140"/>
      <c r="I17" s="140"/>
      <c r="J17" s="140"/>
      <c r="K17" s="140"/>
      <c r="L17" s="140"/>
      <c r="M17" s="140"/>
      <c r="N17" s="140"/>
      <c r="O17" s="140"/>
      <c r="P17" s="150"/>
      <c r="Q17" s="147"/>
    </row>
    <row r="18" spans="1:17" ht="13.2">
      <c r="B18" s="10"/>
      <c r="C18" s="7"/>
      <c r="D18" s="7"/>
      <c r="E18" s="7"/>
      <c r="F18" s="143"/>
      <c r="G18" s="139"/>
      <c r="H18" s="140"/>
      <c r="I18" s="140"/>
      <c r="J18" s="140"/>
      <c r="K18" s="140"/>
      <c r="L18" s="140"/>
      <c r="M18" s="140"/>
      <c r="N18" s="140"/>
      <c r="O18" s="140"/>
      <c r="P18" s="150"/>
      <c r="Q18" s="147"/>
    </row>
    <row r="19" spans="1:17" ht="13.2">
      <c r="B19" s="10"/>
      <c r="C19" s="7"/>
      <c r="D19" s="7"/>
      <c r="E19" s="7"/>
      <c r="F19" s="143"/>
      <c r="G19" s="139"/>
      <c r="H19" s="140"/>
      <c r="I19" s="140"/>
      <c r="J19" s="140"/>
      <c r="K19" s="140"/>
      <c r="L19" s="140"/>
      <c r="M19" s="140"/>
      <c r="N19" s="140"/>
      <c r="O19" s="140"/>
      <c r="P19" s="150"/>
      <c r="Q19" s="147"/>
    </row>
    <row r="20" spans="1:17" ht="13.2">
      <c r="B20" s="10"/>
      <c r="C20" s="7"/>
      <c r="D20" s="7"/>
      <c r="E20" s="7"/>
      <c r="F20" s="143"/>
      <c r="G20" s="139"/>
      <c r="H20" s="140"/>
      <c r="I20" s="140"/>
      <c r="J20" s="140"/>
      <c r="K20" s="140"/>
      <c r="L20" s="140"/>
      <c r="M20" s="140"/>
      <c r="N20" s="140"/>
      <c r="O20" s="140"/>
      <c r="P20" s="150"/>
      <c r="Q20" s="147"/>
    </row>
    <row r="21" spans="1:17" ht="13.8" thickBot="1">
      <c r="B21" s="11" t="s">
        <v>21</v>
      </c>
      <c r="C21" s="12"/>
      <c r="D21" s="12">
        <f>SUM(D5:D20)</f>
        <v>6316.8300000000008</v>
      </c>
      <c r="E21" s="12">
        <f>SUM(E5:E20)</f>
        <v>4751</v>
      </c>
      <c r="F21" s="13">
        <f t="shared" ref="F21" si="1">SUM(F5:F20)</f>
        <v>1565.83</v>
      </c>
      <c r="G21" s="146">
        <f>SUM(G5:G20)</f>
        <v>239</v>
      </c>
      <c r="H21" s="146">
        <f t="shared" ref="H21:P21" si="2">SUM(H5:H20)</f>
        <v>235</v>
      </c>
      <c r="I21" s="146">
        <f t="shared" si="2"/>
        <v>93</v>
      </c>
      <c r="J21" s="146">
        <f t="shared" si="2"/>
        <v>41</v>
      </c>
      <c r="K21" s="146">
        <f t="shared" si="2"/>
        <v>195</v>
      </c>
      <c r="L21" s="146">
        <f t="shared" si="2"/>
        <v>235</v>
      </c>
      <c r="M21" s="146">
        <f t="shared" si="2"/>
        <v>235</v>
      </c>
      <c r="N21" s="146">
        <f t="shared" si="2"/>
        <v>235</v>
      </c>
      <c r="O21" s="146">
        <f t="shared" si="2"/>
        <v>235</v>
      </c>
      <c r="P21" s="167">
        <f t="shared" si="2"/>
        <v>235</v>
      </c>
    </row>
    <row r="22" spans="1:17" ht="13.2">
      <c r="H22" s="3"/>
      <c r="I22" s="3"/>
      <c r="J22" s="3"/>
      <c r="K22" s="3"/>
      <c r="L22" s="3"/>
      <c r="M22" s="3"/>
      <c r="N22" s="3"/>
      <c r="O22" s="3"/>
      <c r="P22" s="3"/>
    </row>
    <row r="23" spans="1:17" ht="6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7" ht="22.35" customHeight="1" thickBot="1">
      <c r="B24" s="158" t="s">
        <v>22</v>
      </c>
    </row>
    <row r="25" spans="1:17" ht="13.2">
      <c r="B25" s="15" t="s">
        <v>23</v>
      </c>
      <c r="C25" s="17" t="str">
        <f>G4</f>
        <v>底稿数量</v>
      </c>
      <c r="D25" s="14" t="str">
        <f>H4</f>
        <v>BKD</v>
      </c>
      <c r="E25" s="14" t="str">
        <f>I4</f>
        <v>TOD</v>
      </c>
      <c r="F25" s="14" t="s">
        <v>230</v>
      </c>
      <c r="G25" s="14" t="str">
        <f>K4</f>
        <v>其他程序</v>
      </c>
      <c r="H25" s="14" t="str">
        <f>L4</f>
        <v>已完成</v>
      </c>
      <c r="I25" s="14" t="s">
        <v>212</v>
      </c>
      <c r="J25" s="14" t="s">
        <v>213</v>
      </c>
      <c r="K25" s="14" t="str">
        <f>O4</f>
        <v>首次交付</v>
      </c>
      <c r="L25" s="42" t="str">
        <f>P4</f>
        <v>最终交付</v>
      </c>
    </row>
    <row r="26" spans="1:17" ht="14.25" customHeight="1">
      <c r="B26" s="10" t="s">
        <v>413</v>
      </c>
      <c r="C26" s="152">
        <f>COUNTIFS(底稿进度!J:J,看板!B26)</f>
        <v>56</v>
      </c>
      <c r="D26" s="153">
        <f>COUNTIFS(底稿进度!K:K,"Y",底稿进度!J:J,看板!B26)</f>
        <v>55</v>
      </c>
      <c r="E26" s="153">
        <f>COUNTIFS(底稿进度!L:L,"Y",底稿进度!J:J,看板!B26)</f>
        <v>4</v>
      </c>
      <c r="F26" s="153">
        <f>COUNTIFS(底稿进度!M:M,"Y",底稿进度!J:J,看板!B26)</f>
        <v>7</v>
      </c>
      <c r="G26" s="153">
        <f>COUNTIFS(底稿进度!N:N,"Y",底稿进度!J:J,看板!B26)</f>
        <v>32</v>
      </c>
      <c r="H26" s="153">
        <f>COUNTIFS(底稿进度!S:S,"Y",底稿进度!J:J,看板!B26)</f>
        <v>55</v>
      </c>
      <c r="I26" s="153">
        <f>COUNTIFS(底稿进度!T:T,"Y",底稿进度!J:J,看板!B26)</f>
        <v>55</v>
      </c>
      <c r="J26" s="153">
        <f>COUNTIFS(底稿进度!U:U,"Y",底稿进度!J:J,看板!B26)</f>
        <v>55</v>
      </c>
      <c r="K26" s="153">
        <f>COUNTIFS(底稿进度!V:V,"Y",底稿进度!J:J,看板!B26)</f>
        <v>55</v>
      </c>
      <c r="L26" s="154">
        <f>COUNTIFS(底稿进度!W:W,"Y",底稿进度!J:J,看板!B26)</f>
        <v>55</v>
      </c>
      <c r="M26" s="5"/>
    </row>
    <row r="27" spans="1:17" ht="14.25" customHeight="1">
      <c r="B27" s="10" t="s">
        <v>414</v>
      </c>
      <c r="C27" s="152">
        <f>COUNTIFS(底稿进度!J:J,看板!B27)</f>
        <v>129</v>
      </c>
      <c r="D27" s="153">
        <f>COUNTIFS(底稿进度!K:K,"Y",底稿进度!J:J,看板!B27)</f>
        <v>127</v>
      </c>
      <c r="E27" s="153">
        <f>COUNTIFS(底稿进度!L:L,"Y",底稿进度!J:J,看板!B27)</f>
        <v>73</v>
      </c>
      <c r="F27" s="153">
        <f>COUNTIFS(底稿进度!M:M,"Y",底稿进度!J:J,看板!B27)</f>
        <v>34</v>
      </c>
      <c r="G27" s="153">
        <f>COUNTIFS(底稿进度!N:N,"Y",底稿进度!J:J,看板!B27)</f>
        <v>112</v>
      </c>
      <c r="H27" s="153">
        <f>COUNTIFS(底稿进度!S:S,"Y",底稿进度!J:J,看板!B27)</f>
        <v>127</v>
      </c>
      <c r="I27" s="153">
        <f>COUNTIFS(底稿进度!T:T,"Y",底稿进度!J:J,看板!B27)</f>
        <v>127</v>
      </c>
      <c r="J27" s="153">
        <f>COUNTIFS(底稿进度!U:U,"Y",底稿进度!J:J,看板!B27)</f>
        <v>127</v>
      </c>
      <c r="K27" s="153">
        <f>COUNTIFS(底稿进度!V:V,"Y",底稿进度!J:J,看板!B27)</f>
        <v>127</v>
      </c>
      <c r="L27" s="154">
        <f>COUNTIFS(底稿进度!W:W,"Y",底稿进度!J:J,看板!B27)</f>
        <v>127</v>
      </c>
      <c r="M27" s="6"/>
    </row>
    <row r="28" spans="1:17" ht="14.25" customHeight="1">
      <c r="B28" s="10" t="s">
        <v>416</v>
      </c>
      <c r="C28" s="152">
        <f>COUNTIFS(底稿进度!J:J,看板!B28)</f>
        <v>10</v>
      </c>
      <c r="D28" s="153">
        <f>COUNTIFS(底稿进度!K:K,"Y",底稿进度!J:J,看板!B28)</f>
        <v>10</v>
      </c>
      <c r="E28" s="153">
        <f>COUNTIFS(底稿进度!L:L,"Y",底稿进度!J:J,看板!B28)</f>
        <v>0</v>
      </c>
      <c r="F28" s="153">
        <f>COUNTIFS(底稿进度!M:M,"Y",底稿进度!J:J,看板!B28)</f>
        <v>0</v>
      </c>
      <c r="G28" s="153">
        <f>COUNTIFS(底稿进度!N:N,"Y",底稿进度!J:J,看板!B28)</f>
        <v>8</v>
      </c>
      <c r="H28" s="153">
        <f>COUNTIFS(底稿进度!S:S,"Y",底稿进度!J:J,看板!B28)</f>
        <v>10</v>
      </c>
      <c r="I28" s="153">
        <f>COUNTIFS(底稿进度!T:T,"Y",底稿进度!J:J,看板!B28)</f>
        <v>10</v>
      </c>
      <c r="J28" s="153">
        <f>COUNTIFS(底稿进度!U:U,"Y",底稿进度!J:J,看板!B28)</f>
        <v>10</v>
      </c>
      <c r="K28" s="153">
        <f>COUNTIFS(底稿进度!V:V,"Y",底稿进度!J:J,看板!B28)</f>
        <v>10</v>
      </c>
      <c r="L28" s="154">
        <f>COUNTIFS(底稿进度!W:W,"Y",底稿进度!J:J,看板!B28)</f>
        <v>10</v>
      </c>
      <c r="M28" s="6"/>
    </row>
    <row r="29" spans="1:17" ht="14.1" customHeight="1">
      <c r="B29" s="10" t="s">
        <v>418</v>
      </c>
      <c r="C29" s="152">
        <f>COUNTIFS(底稿进度!J:J,看板!B29)</f>
        <v>17</v>
      </c>
      <c r="D29" s="153">
        <f>COUNTIFS(底稿进度!K:K,"Y",底稿进度!J:J,看板!B29)</f>
        <v>17</v>
      </c>
      <c r="E29" s="153">
        <f>COUNTIFS(底稿进度!L:L,"Y",底稿进度!J:J,看板!B29)</f>
        <v>15</v>
      </c>
      <c r="F29" s="153">
        <f>COUNTIFS(底稿进度!M:M,"Y",底稿进度!J:J,看板!B29)</f>
        <v>0</v>
      </c>
      <c r="G29" s="153">
        <f>COUNTIFS(底稿进度!N:N,"Y",底稿进度!J:J,看板!B29)</f>
        <v>17</v>
      </c>
      <c r="H29" s="153">
        <f>COUNTIFS(底稿进度!S:S,"Y",底稿进度!J:J,看板!B29)</f>
        <v>17</v>
      </c>
      <c r="I29" s="153">
        <f>COUNTIFS(底稿进度!T:T,"Y",底稿进度!J:J,看板!B29)</f>
        <v>17</v>
      </c>
      <c r="J29" s="153">
        <f>COUNTIFS(底稿进度!U:U,"Y",底稿进度!J:J,看板!B29)</f>
        <v>17</v>
      </c>
      <c r="K29" s="153">
        <f>COUNTIFS(底稿进度!V:V,"Y",底稿进度!J:J,看板!B29)</f>
        <v>17</v>
      </c>
      <c r="L29" s="154">
        <f>COUNTIFS(底稿进度!W:W,"Y",底稿进度!J:J,看板!B29)</f>
        <v>17</v>
      </c>
      <c r="M29" s="6"/>
    </row>
    <row r="30" spans="1:17" ht="14.1" customHeight="1">
      <c r="B30" s="10" t="s">
        <v>415</v>
      </c>
      <c r="C30" s="152">
        <f>COUNTIFS(底稿进度!J:J,看板!B30)</f>
        <v>2</v>
      </c>
      <c r="D30" s="153">
        <f>COUNTIFS(底稿进度!K:K,"Y",底稿进度!J:J,看板!B30)</f>
        <v>2</v>
      </c>
      <c r="E30" s="153">
        <f>COUNTIFS(底稿进度!L:L,"Y",底稿进度!J:J,看板!B30)</f>
        <v>0</v>
      </c>
      <c r="F30" s="153">
        <f>COUNTIFS(底稿进度!M:M,"Y",底稿进度!J:J,看板!B30)</f>
        <v>0</v>
      </c>
      <c r="G30" s="153">
        <f>COUNTIFS(底稿进度!N:N,"Y",底稿进度!J:J,看板!B30)</f>
        <v>2</v>
      </c>
      <c r="H30" s="153">
        <f>COUNTIFS(底稿进度!S:S,"Y",底稿进度!J:J,看板!B30)</f>
        <v>2</v>
      </c>
      <c r="I30" s="153">
        <f>COUNTIFS(底稿进度!T:T,"Y",底稿进度!J:J,看板!B30)</f>
        <v>2</v>
      </c>
      <c r="J30" s="153">
        <f>COUNTIFS(底稿进度!U:U,"Y",底稿进度!J:J,看板!B30)</f>
        <v>2</v>
      </c>
      <c r="K30" s="153">
        <f>COUNTIFS(底稿进度!V:V,"Y",底稿进度!J:J,看板!B30)</f>
        <v>2</v>
      </c>
      <c r="L30" s="154">
        <f>COUNTIFS(底稿进度!W:W,"Y",底稿进度!J:J,看板!B30)</f>
        <v>2</v>
      </c>
      <c r="M30" s="6"/>
    </row>
    <row r="31" spans="1:17" ht="14.1" customHeight="1">
      <c r="B31" s="10" t="s">
        <v>422</v>
      </c>
      <c r="C31" s="152">
        <f>COUNTIFS(底稿进度!J:J,看板!B31)</f>
        <v>19</v>
      </c>
      <c r="D31" s="153">
        <f>COUNTIFS(底稿进度!K:K,"Y",底稿进度!J:J,看板!B31)</f>
        <v>19</v>
      </c>
      <c r="E31" s="153">
        <f>COUNTIFS(底稿进度!L:L,"Y",底稿进度!J:J,看板!B31)</f>
        <v>0</v>
      </c>
      <c r="F31" s="153">
        <f>COUNTIFS(底稿进度!M:M,"Y",底稿进度!J:J,看板!B31)</f>
        <v>0</v>
      </c>
      <c r="G31" s="153">
        <f>COUNTIFS(底稿进度!N:N,"Y",底稿进度!J:J,看板!B31)</f>
        <v>19</v>
      </c>
      <c r="H31" s="153">
        <f>COUNTIFS(底稿进度!S:S,"Y",底稿进度!J:J,看板!B31)</f>
        <v>19</v>
      </c>
      <c r="I31" s="153">
        <f>COUNTIFS(底稿进度!T:T,"Y",底稿进度!J:J,看板!B31)</f>
        <v>19</v>
      </c>
      <c r="J31" s="153">
        <f>COUNTIFS(底稿进度!U:U,"Y",底稿进度!J:J,看板!B31)</f>
        <v>19</v>
      </c>
      <c r="K31" s="153">
        <f>COUNTIFS(底稿进度!V:V,"Y",底稿进度!J:J,看板!B31)</f>
        <v>19</v>
      </c>
      <c r="L31" s="154">
        <f>COUNTIFS(底稿进度!W:W,"Y",底稿进度!J:J,看板!B31)</f>
        <v>19</v>
      </c>
      <c r="M31" s="6"/>
    </row>
    <row r="32" spans="1:17" ht="14.1" customHeight="1">
      <c r="B32" s="10" t="s">
        <v>420</v>
      </c>
      <c r="C32" s="152">
        <f>COUNTIFS(底稿进度!J:J,看板!B32)</f>
        <v>5</v>
      </c>
      <c r="D32" s="153">
        <f>COUNTIFS(底稿进度!K:K,"Y",底稿进度!J:J,看板!B32)</f>
        <v>5</v>
      </c>
      <c r="E32" s="153">
        <f>COUNTIFS(底稿进度!L:L,"Y",底稿进度!J:J,看板!B32)</f>
        <v>1</v>
      </c>
      <c r="F32" s="153">
        <f>COUNTIFS(底稿进度!M:M,"Y",底稿进度!J:J,看板!B32)</f>
        <v>0</v>
      </c>
      <c r="G32" s="153">
        <f>COUNTIFS(底稿进度!N:N,"Y",底稿进度!J:J,看板!B32)</f>
        <v>5</v>
      </c>
      <c r="H32" s="153">
        <f>COUNTIFS(底稿进度!S:S,"Y",底稿进度!J:J,看板!B32)</f>
        <v>5</v>
      </c>
      <c r="I32" s="153">
        <f>COUNTIFS(底稿进度!T:T,"Y",底稿进度!J:J,看板!B32)</f>
        <v>5</v>
      </c>
      <c r="J32" s="153">
        <f>COUNTIFS(底稿进度!U:U,"Y",底稿进度!J:J,看板!B32)</f>
        <v>5</v>
      </c>
      <c r="K32" s="153">
        <f>COUNTIFS(底稿进度!V:V,"Y",底稿进度!J:J,看板!B32)</f>
        <v>5</v>
      </c>
      <c r="L32" s="154">
        <f>COUNTIFS(底稿进度!W:W,"Y",底稿进度!J:J,看板!B32)</f>
        <v>5</v>
      </c>
      <c r="M32" s="6"/>
    </row>
    <row r="33" spans="2:13" ht="14.1" customHeight="1">
      <c r="B33" s="10" t="s">
        <v>411</v>
      </c>
      <c r="C33" s="152">
        <f>COUNTIFS(底稿进度!J:J,看板!B33)</f>
        <v>1</v>
      </c>
      <c r="D33" s="153">
        <f>COUNTIFS(底稿进度!K:K,"Y",底稿进度!J:J,看板!B33)</f>
        <v>0</v>
      </c>
      <c r="E33" s="153">
        <f>COUNTIFS(底稿进度!L:L,"Y",底稿进度!J:J,看板!B33)</f>
        <v>0</v>
      </c>
      <c r="F33" s="153">
        <f>COUNTIFS(底稿进度!M:M,"Y",底稿进度!J:J,看板!B33)</f>
        <v>0</v>
      </c>
      <c r="G33" s="153">
        <f>COUNTIFS(底稿进度!N:N,"Y",底稿进度!J:J,看板!B33)</f>
        <v>0</v>
      </c>
      <c r="H33" s="153">
        <f>COUNTIFS(底稿进度!S:S,"Y",底稿进度!J:J,看板!B33)</f>
        <v>0</v>
      </c>
      <c r="I33" s="153">
        <f>COUNTIFS(底稿进度!T:T,"Y",底稿进度!J:J,看板!B33)</f>
        <v>0</v>
      </c>
      <c r="J33" s="153">
        <f>COUNTIFS(底稿进度!U:U,"Y",底稿进度!J:J,看板!B33)</f>
        <v>0</v>
      </c>
      <c r="K33" s="153">
        <f>COUNTIFS(底稿进度!V:V,"Y",底稿进度!J:J,看板!B33)</f>
        <v>0</v>
      </c>
      <c r="L33" s="154">
        <f>COUNTIFS(底稿进度!W:W,"Y",底稿进度!J:J,看板!B33)</f>
        <v>0</v>
      </c>
      <c r="M33" s="6"/>
    </row>
    <row r="34" spans="2:13" ht="14.1" customHeight="1">
      <c r="B34" s="10"/>
      <c r="C34" s="152">
        <f>COUNTIFS(底稿进度!J:J,看板!B34)</f>
        <v>0</v>
      </c>
      <c r="D34" s="153">
        <f>COUNTIFS(底稿进度!K:K,"Y",底稿进度!J:J,看板!B34)</f>
        <v>0</v>
      </c>
      <c r="E34" s="153">
        <f>COUNTIFS(底稿进度!L:L,"Y",底稿进度!J:J,看板!B34)</f>
        <v>0</v>
      </c>
      <c r="F34" s="153">
        <f>COUNTIFS(底稿进度!M:M,"Y",底稿进度!J:J,看板!B34)</f>
        <v>0</v>
      </c>
      <c r="G34" s="153">
        <f>COUNTIFS(底稿进度!N:N,"Y",底稿进度!J:J,看板!B34)</f>
        <v>0</v>
      </c>
      <c r="H34" s="153">
        <f>COUNTIFS(底稿进度!S:S,"Y",底稿进度!J:J,看板!B34)</f>
        <v>0</v>
      </c>
      <c r="I34" s="153">
        <f>COUNTIFS(底稿进度!T:T,"Y",底稿进度!J:J,看板!B34)</f>
        <v>0</v>
      </c>
      <c r="J34" s="153">
        <f>COUNTIFS(底稿进度!U:U,"Y",底稿进度!J:J,看板!B34)</f>
        <v>0</v>
      </c>
      <c r="K34" s="153">
        <f>COUNTIFS(底稿进度!V:V,"Y",底稿进度!J:J,看板!B34)</f>
        <v>0</v>
      </c>
      <c r="L34" s="154">
        <f>COUNTIFS(底稿进度!W:W,"Y",底稿进度!J:J,看板!B34)</f>
        <v>0</v>
      </c>
      <c r="M34" s="6"/>
    </row>
    <row r="35" spans="2:13" ht="14.25" customHeight="1">
      <c r="B35" s="10"/>
      <c r="C35" s="152">
        <f>COUNTIFS(底稿进度!J:J,看板!B35)</f>
        <v>0</v>
      </c>
      <c r="D35" s="153">
        <f>COUNTIFS(底稿进度!K:K,"Y",底稿进度!J:J,看板!B35)</f>
        <v>0</v>
      </c>
      <c r="E35" s="153">
        <f>COUNTIFS(底稿进度!L:L,"Y",底稿进度!J:J,看板!B35)</f>
        <v>0</v>
      </c>
      <c r="F35" s="153">
        <f>COUNTIFS(底稿进度!M:M,"Y",底稿进度!J:J,看板!B35)</f>
        <v>0</v>
      </c>
      <c r="G35" s="153">
        <f>COUNTIFS(底稿进度!N:N,"Y",底稿进度!J:J,看板!B35)</f>
        <v>0</v>
      </c>
      <c r="H35" s="153">
        <f>COUNTIFS(底稿进度!S:S,"Y",底稿进度!J:J,看板!B35)</f>
        <v>0</v>
      </c>
      <c r="I35" s="153">
        <f>COUNTIFS(底稿进度!T:T,"Y",底稿进度!J:J,看板!B35)</f>
        <v>0</v>
      </c>
      <c r="J35" s="153">
        <f>COUNTIFS(底稿进度!U:U,"Y",底稿进度!J:J,看板!B35)</f>
        <v>0</v>
      </c>
      <c r="K35" s="153">
        <f>COUNTIFS(底稿进度!V:V,"Y",底稿进度!J:J,看板!B35)</f>
        <v>0</v>
      </c>
      <c r="L35" s="154">
        <f>COUNTIFS(底稿进度!W:W,"Y",底稿进度!J:J,看板!B35)</f>
        <v>0</v>
      </c>
    </row>
    <row r="36" spans="2:13" ht="14.25" customHeight="1" thickBot="1">
      <c r="B36" s="16" t="s">
        <v>27</v>
      </c>
      <c r="C36" s="155">
        <f>SUM(C26:C35)</f>
        <v>239</v>
      </c>
      <c r="D36" s="156">
        <f>SUM(D26:D35)</f>
        <v>235</v>
      </c>
      <c r="E36" s="156">
        <f>SUM(E26:E35)</f>
        <v>93</v>
      </c>
      <c r="F36" s="156"/>
      <c r="G36" s="156">
        <f>SUM(G26:G35)</f>
        <v>195</v>
      </c>
      <c r="H36" s="156">
        <f>SUM(H26:H35)</f>
        <v>235</v>
      </c>
      <c r="I36" s="156"/>
      <c r="J36" s="156">
        <f>SUM(J26:J35)</f>
        <v>235</v>
      </c>
      <c r="K36" s="156">
        <f>SUM(K26:K35)</f>
        <v>235</v>
      </c>
      <c r="L36" s="157">
        <f>SUM(L26:L35)</f>
        <v>235</v>
      </c>
    </row>
    <row r="37" spans="2:13" ht="14.25" customHeight="1">
      <c r="C37" s="151">
        <f>C36-G21</f>
        <v>0</v>
      </c>
    </row>
  </sheetData>
  <phoneticPr fontId="4" type="noConversion"/>
  <conditionalFormatting sqref="F5:F1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{4BD0A1B0-8FCE-4BC3-AACE-472E6D228605}</x14:id>
        </ext>
      </extLst>
    </cfRule>
  </conditionalFormatting>
  <conditionalFormatting sqref="F5:F16">
    <cfRule type="cellIs" dxfId="5" priority="8" operator="lessThan">
      <formula>0</formula>
    </cfRule>
  </conditionalFormatting>
  <conditionalFormatting sqref="Q16">
    <cfRule type="cellIs" dxfId="4" priority="3" operator="lessThan">
      <formula>3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BD0A1B0-8FCE-4BC3-AACE-472E6D22860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F5:F16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B1:P34"/>
  <sheetViews>
    <sheetView zoomScale="90" zoomScaleNormal="90" workbookViewId="0">
      <pane xSplit="3" ySplit="2" topLeftCell="D3" activePane="bottomRight" state="frozen"/>
      <selection activeCell="D15" sqref="D15"/>
      <selection pane="topRight" activeCell="D15" sqref="D15"/>
      <selection pane="bottomLeft" activeCell="D15" sqref="D15"/>
      <selection pane="bottomRight" activeCell="I19" sqref="I19"/>
    </sheetView>
  </sheetViews>
  <sheetFormatPr defaultColWidth="9" defaultRowHeight="13.2"/>
  <cols>
    <col min="1" max="1" width="1.109375" style="18" customWidth="1"/>
    <col min="2" max="2" width="22.88671875" style="18" customWidth="1"/>
    <col min="3" max="3" width="11.88671875" style="18" bestFit="1" customWidth="1"/>
    <col min="4" max="4" width="11.88671875" style="18" customWidth="1"/>
    <col min="5" max="5" width="8.33203125" style="18" bestFit="1" customWidth="1"/>
    <col min="6" max="6" width="35.109375" style="18" customWidth="1"/>
    <col min="7" max="8" width="12.109375" style="18" bestFit="1" customWidth="1"/>
    <col min="9" max="9" width="9.88671875" style="18" bestFit="1" customWidth="1"/>
    <col min="10" max="10" width="28.44140625" style="18" customWidth="1"/>
    <col min="11" max="11" width="17.44140625" style="18" customWidth="1"/>
    <col min="12" max="12" width="15.5546875" style="18" customWidth="1"/>
    <col min="13" max="13" width="13.44140625" style="18" customWidth="1"/>
    <col min="14" max="14" width="16.88671875" style="18" customWidth="1"/>
    <col min="15" max="15" width="26.33203125" style="18" customWidth="1"/>
    <col min="16" max="16384" width="9" style="18"/>
  </cols>
  <sheetData>
    <row r="1" spans="2:16" ht="5.85" customHeight="1" thickBot="1"/>
    <row r="2" spans="2:16" s="39" customFormat="1">
      <c r="B2" s="35" t="s">
        <v>1</v>
      </c>
      <c r="C2" s="36" t="s">
        <v>216</v>
      </c>
      <c r="D2" s="36" t="s">
        <v>215</v>
      </c>
      <c r="E2" s="36" t="s">
        <v>401</v>
      </c>
      <c r="F2" s="36" t="s">
        <v>30</v>
      </c>
      <c r="G2" s="36" t="s">
        <v>199</v>
      </c>
      <c r="H2" s="36" t="s">
        <v>200</v>
      </c>
      <c r="I2" s="36" t="s">
        <v>214</v>
      </c>
      <c r="J2" s="36" t="s">
        <v>201</v>
      </c>
      <c r="K2" s="37" t="s">
        <v>31</v>
      </c>
      <c r="L2" s="37" t="s">
        <v>32</v>
      </c>
      <c r="M2" s="37" t="s">
        <v>33</v>
      </c>
      <c r="N2" s="37" t="s">
        <v>34</v>
      </c>
      <c r="O2" s="37" t="s">
        <v>35</v>
      </c>
      <c r="P2" s="38" t="s">
        <v>36</v>
      </c>
    </row>
    <row r="3" spans="2:16">
      <c r="B3" s="22" t="s">
        <v>37</v>
      </c>
      <c r="C3" s="23" t="s">
        <v>5</v>
      </c>
      <c r="D3" s="23"/>
      <c r="E3" s="23" t="str">
        <f>_xlfn.XLOOKUP(B3,'[1]SG原始数据（每周一更新）'!$F:$F,'[1]SG原始数据（每周一更新）'!$T:$T)</f>
        <v>IPO</v>
      </c>
      <c r="F3" s="23" t="s">
        <v>38</v>
      </c>
      <c r="G3" s="25">
        <v>46127</v>
      </c>
      <c r="H3" s="25">
        <v>46132</v>
      </c>
      <c r="I3" s="25">
        <v>46142</v>
      </c>
      <c r="J3" s="23" t="s">
        <v>39</v>
      </c>
      <c r="K3" s="68" t="s">
        <v>40</v>
      </c>
      <c r="L3" s="23" t="s">
        <v>41</v>
      </c>
      <c r="M3" s="23" t="s">
        <v>42</v>
      </c>
      <c r="N3" s="23" t="s">
        <v>43</v>
      </c>
      <c r="O3" s="23" t="s">
        <v>44</v>
      </c>
      <c r="P3" s="26"/>
    </row>
    <row r="4" spans="2:16">
      <c r="B4" s="22" t="s">
        <v>8</v>
      </c>
      <c r="C4" s="23" t="s">
        <v>7</v>
      </c>
      <c r="D4" s="23"/>
      <c r="E4" s="23" t="str">
        <f>_xlfn.XLOOKUP(B4,'[1]SG原始数据（每周一更新）'!$F:$F,'[1]SG原始数据（每周一更新）'!$T:$T)</f>
        <v>FSO PIE</v>
      </c>
      <c r="F4" s="23" t="s">
        <v>45</v>
      </c>
      <c r="G4" s="25">
        <v>46087</v>
      </c>
      <c r="H4" s="25">
        <v>46098</v>
      </c>
      <c r="I4" s="25">
        <v>46104</v>
      </c>
      <c r="J4" s="23" t="s">
        <v>46</v>
      </c>
      <c r="K4" s="68" t="s">
        <v>47</v>
      </c>
      <c r="L4" s="23" t="s">
        <v>41</v>
      </c>
      <c r="M4" s="23" t="s">
        <v>48</v>
      </c>
      <c r="N4" s="23" t="s">
        <v>49</v>
      </c>
      <c r="O4" s="23" t="s">
        <v>50</v>
      </c>
      <c r="P4" s="26"/>
    </row>
    <row r="5" spans="2:16">
      <c r="B5" s="22" t="s">
        <v>10</v>
      </c>
      <c r="C5" s="23" t="s">
        <v>9</v>
      </c>
      <c r="D5" s="23"/>
      <c r="E5" s="23" t="str">
        <f>_xlfn.XLOOKUP(B5,'[1]SG原始数据（每周一更新）'!$F:$F,'[1]SG原始数据（每周一更新）'!$T:$T)</f>
        <v>MNC</v>
      </c>
      <c r="F5" s="23" t="s">
        <v>51</v>
      </c>
      <c r="G5" s="25">
        <v>46086</v>
      </c>
      <c r="H5" s="25">
        <v>46094</v>
      </c>
      <c r="I5" s="25">
        <v>46158</v>
      </c>
      <c r="J5" s="23" t="s">
        <v>52</v>
      </c>
      <c r="K5" s="68" t="s">
        <v>53</v>
      </c>
      <c r="L5" s="23" t="s">
        <v>41</v>
      </c>
      <c r="M5" s="23" t="s">
        <v>48</v>
      </c>
      <c r="N5" s="23" t="s">
        <v>54</v>
      </c>
      <c r="O5" s="23" t="s">
        <v>55</v>
      </c>
      <c r="P5" s="26"/>
    </row>
    <row r="6" spans="2:16" ht="14.4">
      <c r="B6" s="22" t="s">
        <v>56</v>
      </c>
      <c r="C6" s="23" t="s">
        <v>57</v>
      </c>
      <c r="D6" s="23"/>
      <c r="E6" s="23" t="str">
        <f>_xlfn.XLOOKUP(B6,'[1]SG原始数据（每周一更新）'!$F:$F,'[1]SG原始数据（每周一更新）'!$T:$T)</f>
        <v>Non-PIE</v>
      </c>
      <c r="F6" s="40" t="s">
        <v>58</v>
      </c>
      <c r="G6" s="138">
        <v>46101</v>
      </c>
      <c r="H6" s="138">
        <v>46112</v>
      </c>
      <c r="I6" s="138">
        <v>46157</v>
      </c>
      <c r="J6" s="23" t="s">
        <v>59</v>
      </c>
      <c r="K6" s="68" t="s">
        <v>60</v>
      </c>
      <c r="L6" s="109" t="s">
        <v>61</v>
      </c>
      <c r="M6" s="23" t="s">
        <v>62</v>
      </c>
      <c r="N6" s="23" t="s">
        <v>63</v>
      </c>
      <c r="O6" s="23" t="s">
        <v>64</v>
      </c>
      <c r="P6" s="26"/>
    </row>
    <row r="7" spans="2:16" ht="14.4">
      <c r="B7" s="22" t="s">
        <v>65</v>
      </c>
      <c r="C7" s="23" t="s">
        <v>13</v>
      </c>
      <c r="D7" s="23"/>
      <c r="E7" s="23" t="str">
        <f>_xlfn.XLOOKUP(B7,'[1]SG原始数据（每周一更新）'!$F:$F,'[1]SG原始数据（每周一更新）'!$T:$T)</f>
        <v>PIE</v>
      </c>
      <c r="F7" s="23" t="s">
        <v>66</v>
      </c>
      <c r="G7" s="25">
        <v>46085</v>
      </c>
      <c r="H7" s="25">
        <v>46094</v>
      </c>
      <c r="I7" s="25">
        <v>46109</v>
      </c>
      <c r="J7" s="23" t="s">
        <v>67</v>
      </c>
      <c r="K7" s="68" t="s">
        <v>68</v>
      </c>
      <c r="L7" s="109" t="s">
        <v>69</v>
      </c>
      <c r="M7" s="23" t="s">
        <v>70</v>
      </c>
      <c r="N7" s="23" t="s">
        <v>71</v>
      </c>
      <c r="O7" s="23" t="s">
        <v>72</v>
      </c>
      <c r="P7" s="26"/>
    </row>
    <row r="8" spans="2:16">
      <c r="B8" s="22" t="s">
        <v>73</v>
      </c>
      <c r="C8" s="23" t="s">
        <v>15</v>
      </c>
      <c r="D8" s="23"/>
      <c r="E8" s="23" t="str">
        <f>_xlfn.XLOOKUP(B8,'[1]SG原始数据（每周一更新）'!$F:$F,'[1]SG原始数据（每周一更新）'!$T:$T)</f>
        <v>PIE</v>
      </c>
      <c r="F8" s="23" t="s">
        <v>74</v>
      </c>
      <c r="G8" s="138">
        <v>46101</v>
      </c>
      <c r="H8" s="138">
        <v>46111</v>
      </c>
      <c r="I8" s="138">
        <v>46141</v>
      </c>
      <c r="J8" s="23" t="s">
        <v>75</v>
      </c>
      <c r="K8" s="68" t="s">
        <v>76</v>
      </c>
      <c r="L8" s="23" t="s">
        <v>77</v>
      </c>
      <c r="M8" s="23" t="s">
        <v>78</v>
      </c>
      <c r="N8" s="23" t="s">
        <v>79</v>
      </c>
      <c r="O8" s="23" t="s">
        <v>80</v>
      </c>
      <c r="P8" s="26"/>
    </row>
    <row r="9" spans="2:16">
      <c r="B9" s="22" t="s">
        <v>81</v>
      </c>
      <c r="C9" s="23" t="s">
        <v>17</v>
      </c>
      <c r="D9" s="23"/>
      <c r="E9" s="23" t="str">
        <f>_xlfn.XLOOKUP(B9,'[1]SG原始数据（每周一更新）'!$F:$F,'[1]SG原始数据（每周一更新）'!$T:$T)</f>
        <v>MNC</v>
      </c>
      <c r="F9" s="23" t="s">
        <v>82</v>
      </c>
      <c r="G9" s="25">
        <v>46129</v>
      </c>
      <c r="H9" s="25">
        <v>46133</v>
      </c>
      <c r="I9" s="25">
        <v>46171</v>
      </c>
      <c r="J9" s="23" t="s">
        <v>83</v>
      </c>
      <c r="K9" s="68" t="s">
        <v>84</v>
      </c>
      <c r="L9" s="23" t="s">
        <v>85</v>
      </c>
      <c r="M9" s="23" t="s">
        <v>78</v>
      </c>
      <c r="N9" s="23" t="s">
        <v>86</v>
      </c>
      <c r="O9" s="23" t="s">
        <v>87</v>
      </c>
      <c r="P9" s="26"/>
    </row>
    <row r="10" spans="2:16" ht="14.4">
      <c r="B10" s="22" t="s">
        <v>88</v>
      </c>
      <c r="C10" s="23" t="s">
        <v>19</v>
      </c>
      <c r="D10" s="23"/>
      <c r="E10" s="23" t="str">
        <f>_xlfn.XLOOKUP(B10,'[1]SG原始数据（每周一更新）'!$F:$F,'[1]SG原始数据（每周一更新）'!$T:$T)</f>
        <v>MNC</v>
      </c>
      <c r="F10" s="23" t="s">
        <v>89</v>
      </c>
      <c r="G10" s="25">
        <v>46092</v>
      </c>
      <c r="H10" s="25">
        <v>46098</v>
      </c>
      <c r="I10" s="25">
        <v>46142</v>
      </c>
      <c r="J10" s="23" t="s">
        <v>90</v>
      </c>
      <c r="K10" s="23" t="s">
        <v>91</v>
      </c>
      <c r="L10" s="106" t="s">
        <v>92</v>
      </c>
      <c r="M10" s="23" t="s">
        <v>93</v>
      </c>
      <c r="N10" s="23" t="s">
        <v>94</v>
      </c>
      <c r="O10" s="23" t="s">
        <v>95</v>
      </c>
      <c r="P10" s="26"/>
    </row>
    <row r="11" spans="2:16" ht="14.4">
      <c r="B11" s="22" t="s">
        <v>96</v>
      </c>
      <c r="C11" s="23" t="s">
        <v>97</v>
      </c>
      <c r="D11" s="23"/>
      <c r="E11" s="23" t="str">
        <f>_xlfn.XLOOKUP(B11,'[1]SG原始数据（每周一更新）'!$F:$F,'[1]SG原始数据（每周一更新）'!$T:$T)</f>
        <v>MNC</v>
      </c>
      <c r="F11" s="23" t="s">
        <v>98</v>
      </c>
      <c r="G11" s="25">
        <v>46136</v>
      </c>
      <c r="H11" s="25">
        <v>46142</v>
      </c>
      <c r="I11" s="25">
        <v>46189</v>
      </c>
      <c r="J11" s="23" t="s">
        <v>99</v>
      </c>
      <c r="K11" s="106" t="s">
        <v>40</v>
      </c>
      <c r="L11" s="23" t="s">
        <v>41</v>
      </c>
      <c r="M11" s="23" t="s">
        <v>78</v>
      </c>
      <c r="N11" s="23" t="s">
        <v>100</v>
      </c>
      <c r="O11" s="23" t="s">
        <v>101</v>
      </c>
      <c r="P11" s="26"/>
    </row>
    <row r="12" spans="2:16" ht="14.4">
      <c r="B12" s="22" t="s">
        <v>102</v>
      </c>
      <c r="C12" s="23" t="s">
        <v>103</v>
      </c>
      <c r="D12" s="23"/>
      <c r="E12" s="23" t="str">
        <f>_xlfn.XLOOKUP(B12,'[1]SG原始数据（每周一更新）'!$F:$F,'[1]SG原始数据（每周一更新）'!$T:$T)</f>
        <v>MNC</v>
      </c>
      <c r="F12" s="23" t="s">
        <v>104</v>
      </c>
      <c r="G12" s="25">
        <v>46136</v>
      </c>
      <c r="H12" s="25">
        <v>46142</v>
      </c>
      <c r="I12" s="25">
        <v>46171</v>
      </c>
      <c r="J12" s="23" t="s">
        <v>99</v>
      </c>
      <c r="K12" s="106" t="s">
        <v>40</v>
      </c>
      <c r="L12" s="23" t="s">
        <v>41</v>
      </c>
      <c r="M12" s="23" t="s">
        <v>78</v>
      </c>
      <c r="N12" s="23" t="s">
        <v>105</v>
      </c>
      <c r="O12" s="23" t="s">
        <v>106</v>
      </c>
      <c r="P12" s="26"/>
    </row>
    <row r="13" spans="2:16" ht="14.4">
      <c r="B13" s="83" t="s">
        <v>107</v>
      </c>
      <c r="C13" s="84" t="s">
        <v>108</v>
      </c>
      <c r="D13" s="84"/>
      <c r="E13" s="23" t="str">
        <f>_xlfn.XLOOKUP(B13,'[1]SG原始数据（每周一更新）'!$F:$F,'[1]SG原始数据（每周一更新）'!$T:$T)</f>
        <v>IPO</v>
      </c>
      <c r="F13" s="84" t="s">
        <v>109</v>
      </c>
      <c r="G13" s="137">
        <v>46164</v>
      </c>
      <c r="H13" s="137">
        <v>46189</v>
      </c>
      <c r="I13" s="137">
        <v>46203</v>
      </c>
      <c r="J13" s="84" t="s">
        <v>110</v>
      </c>
      <c r="K13" s="23" t="s">
        <v>91</v>
      </c>
      <c r="L13" s="108" t="s">
        <v>111</v>
      </c>
      <c r="M13" s="84" t="s">
        <v>78</v>
      </c>
      <c r="N13" s="84" t="s">
        <v>112</v>
      </c>
      <c r="O13" s="84" t="s">
        <v>113</v>
      </c>
      <c r="P13" s="87"/>
    </row>
    <row r="14" spans="2:16" ht="14.4">
      <c r="B14" s="83" t="s">
        <v>207</v>
      </c>
      <c r="C14" s="84" t="s">
        <v>229</v>
      </c>
      <c r="D14" s="84"/>
      <c r="E14" s="23" t="str">
        <f>_xlfn.XLOOKUP(B14,'[1]SG原始数据（每周一更新）'!$F:$F,'[1]SG原始数据（每周一更新）'!$T:$T)</f>
        <v>IPO</v>
      </c>
      <c r="F14" s="84" t="s">
        <v>208</v>
      </c>
      <c r="G14" s="137">
        <v>46191</v>
      </c>
      <c r="H14" s="137">
        <v>46213</v>
      </c>
      <c r="I14" s="137">
        <v>46234</v>
      </c>
      <c r="J14" s="84" t="s">
        <v>209</v>
      </c>
      <c r="K14" s="108" t="s">
        <v>210</v>
      </c>
      <c r="L14" s="23" t="s">
        <v>219</v>
      </c>
      <c r="M14" s="84" t="s">
        <v>211</v>
      </c>
      <c r="N14" s="84" t="s">
        <v>217</v>
      </c>
      <c r="O14" s="84" t="s">
        <v>218</v>
      </c>
      <c r="P14" s="87"/>
    </row>
    <row r="15" spans="2:16" ht="13.8" thickBot="1">
      <c r="B15" s="27"/>
      <c r="C15" s="28"/>
      <c r="D15" s="28"/>
      <c r="E15" s="28"/>
      <c r="F15" s="28"/>
      <c r="G15" s="28"/>
      <c r="H15" s="28"/>
      <c r="I15" s="28"/>
      <c r="J15" s="28"/>
      <c r="K15" s="107"/>
      <c r="L15" s="28"/>
      <c r="M15" s="28"/>
      <c r="N15" s="28"/>
      <c r="O15" s="28"/>
      <c r="P15" s="29"/>
    </row>
    <row r="18" spans="2:16">
      <c r="B18" s="18" t="s">
        <v>224</v>
      </c>
    </row>
    <row r="19" spans="2:16">
      <c r="B19" s="18" t="s">
        <v>441</v>
      </c>
    </row>
    <row r="20" spans="2:16">
      <c r="B20" s="18" t="s">
        <v>442</v>
      </c>
    </row>
    <row r="21" spans="2:16">
      <c r="B21" s="18" t="s">
        <v>443</v>
      </c>
    </row>
    <row r="22" spans="2:16">
      <c r="B22" s="18" t="s">
        <v>444</v>
      </c>
    </row>
    <row r="23" spans="2:16">
      <c r="B23" s="18" t="s">
        <v>445</v>
      </c>
    </row>
    <row r="24" spans="2:16">
      <c r="B24" s="18" t="s">
        <v>446</v>
      </c>
    </row>
    <row r="25" spans="2:16">
      <c r="B25" s="18" t="s">
        <v>447</v>
      </c>
    </row>
    <row r="26" spans="2:16">
      <c r="B26" s="18" t="s">
        <v>448</v>
      </c>
    </row>
    <row r="28" spans="2:16" ht="6.6" customHeight="1">
      <c r="B28" s="59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</row>
    <row r="29" spans="2:16">
      <c r="B29" s="43" t="s">
        <v>114</v>
      </c>
    </row>
    <row r="30" spans="2:16">
      <c r="B30" s="18" t="s">
        <v>115</v>
      </c>
    </row>
    <row r="31" spans="2:16">
      <c r="B31" s="18" t="s">
        <v>116</v>
      </c>
    </row>
    <row r="32" spans="2:16">
      <c r="B32" s="18" t="s">
        <v>117</v>
      </c>
    </row>
    <row r="33" spans="2:2">
      <c r="B33" s="18" t="s">
        <v>118</v>
      </c>
    </row>
    <row r="34" spans="2:2">
      <c r="B34" s="18" t="s">
        <v>119</v>
      </c>
    </row>
  </sheetData>
  <phoneticPr fontId="4" type="noConversion"/>
  <hyperlinks>
    <hyperlink ref="K4" r:id="rId1" display="https://sites.ey.com/sites/PaoBank-FY2025314/Shared Documents/Forms/AllItems.aspx?id=%2Fsites%2FPaoBank%2DFY2025314%2FShared%20Documents%2FDatabase&amp;viewid=32e3c4db%2D71e6%2D43c8%2D8fb6%2D60092ba5f3e2&amp;e=5%3A2687e688b1914e8ab4baf33a0d8a7dd8&amp;sharingv2=true&amp;fromShare=true&amp;at=9&amp;CID=31212dc7%2D15f4%2D4c40%2D819c%2D68d97ed38703&amp;FolderCTID=0x01200099827604670C8E4C9BCB3CEBE2878856" xr:uid="{22DB82B3-000F-404F-94C7-FC774495E13A}"/>
    <hyperlink ref="K3" r:id="rId2" display="../../../../../../lexi_lv_cn_ey_com/_layouts/15/onedrive.aspx?e=5%3A128de39cad0946b9b78dd783bda77597&amp;CID=7228e632%2D5254%2D431b%2Dbade%2D9c6461afdcf9&amp;id=%2Fpersonal%2Flexi%5Flv%5Fcn%5Fey%5Fcom%2FDocuments%2F%E7%91%9E%E4%BA%91%E5%86%B7%E9%93%BEIPO&amp;FolderCTID=0x012000E0BE0F56D7FF714BB9CA5F19B7D0CA50&amp;view=0" xr:uid="{AE8C062C-242F-4CCA-B01D-D49877B30AFC}"/>
    <hyperlink ref="K5" r:id="rId3" display="https://eychinamanaged.sharepoint.cn/sites/EY-CHANEL/Shared Documents/Forms/AllItems.aspx" xr:uid="{D8F61AA9-9971-49E6-BA61-F206B041B2CA}"/>
    <hyperlink ref="K6" r:id="rId4" display="https://eychinamanaged.sharepoint.cn/sites/DNE/Shared Documents/Forms/AllItems.aspx?id=%2Fsites%2FDNE%2FShared%20Documents%2F2025%20DNE&amp;viewid=019bacc2%2Da073%2D4fc1%2Db18f%2Db21e99edeb6a" xr:uid="{31E297FD-18ED-4222-9C0B-67F6F1AC2B99}"/>
    <hyperlink ref="K7" r:id="rId5" display="https://eychinamanaged.sharepoint.cn/sites/Recbio/Shared Documents/Forms/AllItems.aspx?id=%2Fsites%2FRecbio%2FShared%20Documents%2FRecbio%5F20250930%5F%E9%A2%84%E5%AE%A1" xr:uid="{7911C303-7FE7-4CE1-B720-6BE2BC8F7A43}"/>
    <hyperlink ref="K8" r:id="rId6" display="https://eychinamanaged.sharepoint.cn/sites/H3C_2022/Shared Documents/Forms/AllItems.aspx?id=%2Fsites%2FH3C_2022%2FShared%20Documents%2F2025%201231&amp;viewid=ecb97275-d694-4c2a-bdb7-7f4b08badf52&amp;e=5%3A6944fe38be134c868b29b8ea5d6e09c2&amp;CID=44f81c84-30d8-4c2f-a0f7-5cbe6b1e5626&amp;FolderCTID=0x0120004852B7C480621E4684DC7CBF77F7AC13" xr:uid="{42DC8E4E-674B-4253-99CE-E1E974F469C8}"/>
    <hyperlink ref="K9" r:id="rId7" display="https://chinaclientportal.ey.com.cn/project/index" xr:uid="{E8B2AA55-A070-49CF-AE2D-79ACFE6E1F14}"/>
    <hyperlink ref="L6" r:id="rId8" xr:uid="{9AB64C4E-A945-4DEF-8050-8302ABCAF885}"/>
    <hyperlink ref="L7" r:id="rId9" xr:uid="{CF64487E-A7BC-4A93-9308-10994BEF0A1D}"/>
    <hyperlink ref="L10" r:id="rId10" xr:uid="{2E95BCD8-F6C8-4F0B-A90E-0D0B16A6A150}"/>
    <hyperlink ref="K11" r:id="rId11" display="../../../../../wang_han_wu_cn_ey_com/_layouts/15/onedrive.aspx?id=%2Fpersonal%2Fwang%5Fhan%5Fwu%5Fcn%5Fey%5Fcom%2FDocuments%2FDesktop%2F2026%2F2026%2D4%2F%E4%B8%8A%E6%B5%B7%E6%9D%8E%E5%B0%94%2FPBC%2F25PBC%2FTech&amp;viewid=3e8d9ea9%2D4d08%2D4e27%2Da17a%2D4798b1a109c0&amp;CID=b920eab1%2D24cc%2D4207%2D9dc4%2D72c7d0f4ccba&amp;FolderCTID=0x0120008FE119141A589E4D8A31C05B19ED02F5&amp;view=0" xr:uid="{FC99BF37-A799-45CA-9C0B-4D1FA020E885}"/>
    <hyperlink ref="K12" r:id="rId12" display="../../../../../sune_wang_cn_ey_com/_layouts/15/onedrive.aspx?e=5%3Aab45611cf2da4b50afcfb14396a5803f&amp;CID=a0c7cc8d%2D882a%2D4ace%2Da158%2D2f0fce71f102&amp;id=%2Fpersonal%2Fsune%5Fwang%5Fcn%5Fey%5Fcom%2FDocuments%2FDesktop%2F2025%E5%B9%B4%E5%AE%A1%2FLEAR%20%E4%B8%AD%E5%9B%BD%2FCHC2025%E5%B9%B4%E5%AE%A1%2F07%2DCHC%20V1%2F07%2DCHC%20V1%2F01%2DCHC&amp;FolderCTID=0x0120007FF18DED731F9D44ADEBCC2438589757&amp;view=0" xr:uid="{A73A822E-A638-4993-8831-2A139886630F}"/>
    <hyperlink ref="L13" r:id="rId13" xr:uid="{3F870302-5966-42FB-8F53-F448B338CAD6}"/>
    <hyperlink ref="K14" r:id="rId14" xr:uid="{19B1C416-43CB-4F45-841F-A9440075F794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8071A-5BC5-4A9C-9C19-EF2F1C0B6593}">
  <sheetPr>
    <tabColor rgb="FF92D050"/>
  </sheetPr>
  <dimension ref="B1:S15"/>
  <sheetViews>
    <sheetView zoomScaleNormal="100" workbookViewId="0">
      <pane xSplit="3" ySplit="2" topLeftCell="D3" activePane="bottomRight" state="frozen"/>
      <selection activeCell="D15" sqref="D15"/>
      <selection pane="topRight" activeCell="D15" sqref="D15"/>
      <selection pane="bottomLeft" activeCell="D15" sqref="D15"/>
      <selection pane="bottomRight" activeCell="D15" sqref="D15"/>
    </sheetView>
  </sheetViews>
  <sheetFormatPr defaultColWidth="8.88671875" defaultRowHeight="13.2"/>
  <cols>
    <col min="1" max="1" width="1.44140625" style="18" customWidth="1"/>
    <col min="2" max="2" width="22.44140625" style="18" customWidth="1"/>
    <col min="3" max="3" width="13.109375" style="18" bestFit="1" customWidth="1"/>
    <col min="4" max="4" width="13.88671875" style="18" customWidth="1"/>
    <col min="5" max="5" width="15.88671875" style="18" customWidth="1"/>
    <col min="6" max="6" width="9.77734375" style="18" customWidth="1"/>
    <col min="7" max="7" width="9.6640625" style="18" customWidth="1"/>
    <col min="8" max="8" width="9.88671875" style="18" customWidth="1"/>
    <col min="9" max="9" width="8.77734375" style="18" customWidth="1"/>
    <col min="10" max="10" width="7.77734375" style="18" customWidth="1"/>
    <col min="11" max="11" width="12.21875" style="18" customWidth="1"/>
    <col min="12" max="12" width="9.109375" style="18" customWidth="1"/>
    <col min="13" max="13" width="7.77734375" style="18" customWidth="1"/>
    <col min="14" max="14" width="6.44140625" style="18" customWidth="1"/>
    <col min="15" max="15" width="7.44140625" style="18" customWidth="1"/>
    <col min="16" max="16" width="6.5546875" style="18" bestFit="1" customWidth="1"/>
    <col min="17" max="17" width="14.5546875" style="18" customWidth="1"/>
    <col min="18" max="16384" width="8.88671875" style="18"/>
  </cols>
  <sheetData>
    <row r="1" spans="2:19" ht="22.8" customHeight="1" thickBot="1">
      <c r="B1" s="136" t="s">
        <v>204</v>
      </c>
    </row>
    <row r="2" spans="2:19">
      <c r="B2" s="35" t="s">
        <v>1</v>
      </c>
      <c r="C2" s="36" t="s">
        <v>24</v>
      </c>
      <c r="D2" s="44" t="s">
        <v>120</v>
      </c>
      <c r="E2" s="44" t="s">
        <v>121</v>
      </c>
      <c r="F2" s="35" t="s">
        <v>122</v>
      </c>
      <c r="G2" s="36" t="s">
        <v>123</v>
      </c>
      <c r="H2" s="36" t="s">
        <v>124</v>
      </c>
      <c r="I2" s="36" t="s">
        <v>125</v>
      </c>
      <c r="J2" s="36" t="s">
        <v>126</v>
      </c>
      <c r="K2" s="36" t="s">
        <v>127</v>
      </c>
      <c r="L2" s="44" t="s">
        <v>128</v>
      </c>
      <c r="M2" s="35" t="s">
        <v>129</v>
      </c>
      <c r="N2" s="36" t="s">
        <v>130</v>
      </c>
      <c r="O2" s="36" t="s">
        <v>131</v>
      </c>
      <c r="P2" s="36" t="s">
        <v>206</v>
      </c>
      <c r="Q2" s="57" t="s">
        <v>36</v>
      </c>
      <c r="R2" s="18" t="s">
        <v>132</v>
      </c>
    </row>
    <row r="3" spans="2:19">
      <c r="B3" s="22" t="s">
        <v>6</v>
      </c>
      <c r="C3" s="23" t="s">
        <v>133</v>
      </c>
      <c r="D3" s="63" t="s">
        <v>134</v>
      </c>
      <c r="E3" s="63" t="s">
        <v>135</v>
      </c>
      <c r="F3" s="46">
        <v>57</v>
      </c>
      <c r="G3" s="47">
        <v>14</v>
      </c>
      <c r="H3" s="47">
        <v>128</v>
      </c>
      <c r="I3" s="47">
        <v>9</v>
      </c>
      <c r="J3" s="47">
        <v>0</v>
      </c>
      <c r="K3" s="47">
        <v>0</v>
      </c>
      <c r="L3" s="48">
        <f>SUM(F3:K3)</f>
        <v>208</v>
      </c>
      <c r="M3" s="46">
        <f>L3-N3</f>
        <v>208</v>
      </c>
      <c r="N3" s="47">
        <v>0</v>
      </c>
      <c r="O3" s="47">
        <v>208</v>
      </c>
      <c r="P3" s="47">
        <f>M3-O3</f>
        <v>0</v>
      </c>
      <c r="Q3" s="26"/>
      <c r="R3" s="18" t="s">
        <v>28</v>
      </c>
      <c r="S3" s="62">
        <f>M3-O3-P3</f>
        <v>0</v>
      </c>
    </row>
    <row r="4" spans="2:19">
      <c r="B4" s="22" t="s">
        <v>6</v>
      </c>
      <c r="C4" s="23" t="s">
        <v>136</v>
      </c>
      <c r="D4" s="63" t="s">
        <v>134</v>
      </c>
      <c r="E4" s="63" t="s">
        <v>135</v>
      </c>
      <c r="F4" s="46">
        <v>44</v>
      </c>
      <c r="G4" s="47">
        <v>13</v>
      </c>
      <c r="H4" s="47">
        <v>113</v>
      </c>
      <c r="I4" s="47">
        <v>8</v>
      </c>
      <c r="J4" s="47">
        <v>3</v>
      </c>
      <c r="K4" s="47">
        <v>0</v>
      </c>
      <c r="L4" s="48">
        <f>SUM(F4:K4)</f>
        <v>181</v>
      </c>
      <c r="M4" s="46">
        <v>181</v>
      </c>
      <c r="N4" s="47">
        <v>0</v>
      </c>
      <c r="O4" s="47">
        <v>181</v>
      </c>
      <c r="P4" s="47">
        <f>M4-O4</f>
        <v>0</v>
      </c>
      <c r="Q4" s="26"/>
      <c r="R4" s="18" t="s">
        <v>28</v>
      </c>
      <c r="S4" s="62">
        <f>M4-O4-P4</f>
        <v>0</v>
      </c>
    </row>
    <row r="5" spans="2:19">
      <c r="B5" s="22" t="s">
        <v>10</v>
      </c>
      <c r="C5" s="23" t="s">
        <v>9</v>
      </c>
      <c r="D5" s="63" t="s">
        <v>137</v>
      </c>
      <c r="E5" s="63" t="s">
        <v>138</v>
      </c>
      <c r="F5" s="46">
        <v>0</v>
      </c>
      <c r="G5" s="47">
        <v>34</v>
      </c>
      <c r="H5" s="47">
        <v>3</v>
      </c>
      <c r="I5" s="47">
        <v>0</v>
      </c>
      <c r="J5" s="47">
        <v>0</v>
      </c>
      <c r="K5" s="47">
        <v>0</v>
      </c>
      <c r="L5" s="48">
        <f t="shared" ref="L5:L10" si="0">SUM(F5:K5)</f>
        <v>37</v>
      </c>
      <c r="M5" s="46">
        <f t="shared" ref="M5:M10" si="1">L5-N5</f>
        <v>37</v>
      </c>
      <c r="N5" s="47">
        <v>0</v>
      </c>
      <c r="O5" s="47">
        <v>37</v>
      </c>
      <c r="P5" s="47">
        <v>0</v>
      </c>
      <c r="Q5" s="26"/>
      <c r="R5" s="18" t="s">
        <v>25</v>
      </c>
      <c r="S5" s="62">
        <f>M5-O5-P5</f>
        <v>0</v>
      </c>
    </row>
    <row r="6" spans="2:19">
      <c r="B6" s="22" t="s">
        <v>12</v>
      </c>
      <c r="C6" s="23" t="s">
        <v>57</v>
      </c>
      <c r="D6" s="63" t="s">
        <v>139</v>
      </c>
      <c r="E6" s="63" t="s">
        <v>140</v>
      </c>
      <c r="F6" s="49">
        <v>1</v>
      </c>
      <c r="G6" s="50">
        <v>0</v>
      </c>
      <c r="H6" s="50">
        <f>163+1+2-1</f>
        <v>165</v>
      </c>
      <c r="I6" s="50">
        <f>241+12+3</f>
        <v>256</v>
      </c>
      <c r="J6" s="50">
        <f>109+6</f>
        <v>115</v>
      </c>
      <c r="K6" s="50">
        <v>0</v>
      </c>
      <c r="L6" s="48">
        <f>SUM(F6:K6)</f>
        <v>537</v>
      </c>
      <c r="M6" s="46">
        <f>L6-N6</f>
        <v>537</v>
      </c>
      <c r="N6" s="47">
        <v>0</v>
      </c>
      <c r="O6" s="47">
        <v>537</v>
      </c>
      <c r="P6" s="47">
        <f>M6-O6</f>
        <v>0</v>
      </c>
      <c r="Q6" s="26"/>
      <c r="R6" s="18" t="s">
        <v>29</v>
      </c>
      <c r="S6" s="62">
        <f t="shared" ref="S6:S10" si="2">M6-O6-P6</f>
        <v>0</v>
      </c>
    </row>
    <row r="7" spans="2:19">
      <c r="B7" s="22" t="s">
        <v>14</v>
      </c>
      <c r="C7" s="23" t="s">
        <v>13</v>
      </c>
      <c r="D7" s="63" t="s">
        <v>141</v>
      </c>
      <c r="E7" s="63" t="s">
        <v>142</v>
      </c>
      <c r="F7" s="46">
        <v>5</v>
      </c>
      <c r="G7" s="47">
        <v>10</v>
      </c>
      <c r="H7" s="47">
        <v>7</v>
      </c>
      <c r="I7" s="47">
        <v>0</v>
      </c>
      <c r="J7" s="47">
        <v>2</v>
      </c>
      <c r="K7" s="47">
        <v>0</v>
      </c>
      <c r="L7" s="48">
        <f t="shared" si="0"/>
        <v>24</v>
      </c>
      <c r="M7" s="46">
        <f t="shared" si="1"/>
        <v>24</v>
      </c>
      <c r="N7" s="47">
        <v>0</v>
      </c>
      <c r="O7" s="47">
        <v>24</v>
      </c>
      <c r="P7" s="47">
        <v>0</v>
      </c>
      <c r="Q7" s="26"/>
      <c r="R7" s="18" t="s">
        <v>25</v>
      </c>
      <c r="S7" s="62">
        <f t="shared" si="2"/>
        <v>0</v>
      </c>
    </row>
    <row r="8" spans="2:19">
      <c r="B8" s="22" t="s">
        <v>16</v>
      </c>
      <c r="C8" s="23" t="s">
        <v>15</v>
      </c>
      <c r="D8" s="63" t="s">
        <v>143</v>
      </c>
      <c r="E8" s="63" t="s">
        <v>144</v>
      </c>
      <c r="F8" s="46">
        <v>0</v>
      </c>
      <c r="G8" s="47">
        <v>29</v>
      </c>
      <c r="H8" s="47">
        <v>7</v>
      </c>
      <c r="I8" s="47">
        <v>60</v>
      </c>
      <c r="J8" s="47">
        <v>4</v>
      </c>
      <c r="K8" s="47">
        <v>2</v>
      </c>
      <c r="L8" s="48">
        <f t="shared" si="0"/>
        <v>102</v>
      </c>
      <c r="M8" s="46">
        <v>102</v>
      </c>
      <c r="N8" s="47">
        <v>0</v>
      </c>
      <c r="O8" s="47">
        <v>101</v>
      </c>
      <c r="P8" s="47">
        <v>1</v>
      </c>
      <c r="Q8" s="26" t="s">
        <v>145</v>
      </c>
      <c r="R8" s="18" t="s">
        <v>25</v>
      </c>
      <c r="S8" s="62">
        <f t="shared" si="2"/>
        <v>0</v>
      </c>
    </row>
    <row r="9" spans="2:19">
      <c r="B9" s="22" t="s">
        <v>18</v>
      </c>
      <c r="C9" s="23" t="s">
        <v>17</v>
      </c>
      <c r="D9" s="63" t="s">
        <v>146</v>
      </c>
      <c r="E9" s="63" t="s">
        <v>147</v>
      </c>
      <c r="F9" s="46">
        <v>0</v>
      </c>
      <c r="G9" s="47">
        <v>1</v>
      </c>
      <c r="H9" s="47">
        <v>1</v>
      </c>
      <c r="I9" s="47">
        <v>0</v>
      </c>
      <c r="J9" s="47">
        <v>0</v>
      </c>
      <c r="K9" s="47">
        <v>0</v>
      </c>
      <c r="L9" s="48">
        <f t="shared" si="0"/>
        <v>2</v>
      </c>
      <c r="M9" s="46">
        <f t="shared" si="1"/>
        <v>2</v>
      </c>
      <c r="N9" s="47">
        <v>0</v>
      </c>
      <c r="O9" s="47">
        <v>2</v>
      </c>
      <c r="P9" s="47">
        <v>0</v>
      </c>
      <c r="Q9" s="26"/>
      <c r="R9" s="18" t="s">
        <v>26</v>
      </c>
      <c r="S9" s="62">
        <f t="shared" si="2"/>
        <v>0</v>
      </c>
    </row>
    <row r="10" spans="2:19" ht="13.8" thickBot="1">
      <c r="B10" s="27" t="s">
        <v>20</v>
      </c>
      <c r="C10" s="28" t="s">
        <v>19</v>
      </c>
      <c r="D10" s="64" t="s">
        <v>141</v>
      </c>
      <c r="E10" s="64" t="s">
        <v>147</v>
      </c>
      <c r="F10" s="65">
        <v>0</v>
      </c>
      <c r="G10" s="66">
        <v>0</v>
      </c>
      <c r="H10" s="66">
        <v>6</v>
      </c>
      <c r="I10" s="66">
        <v>0</v>
      </c>
      <c r="J10" s="66">
        <v>0</v>
      </c>
      <c r="K10" s="66">
        <v>0</v>
      </c>
      <c r="L10" s="67">
        <f t="shared" si="0"/>
        <v>6</v>
      </c>
      <c r="M10" s="65">
        <f t="shared" si="1"/>
        <v>6</v>
      </c>
      <c r="N10" s="66">
        <v>0</v>
      </c>
      <c r="O10" s="66">
        <v>6</v>
      </c>
      <c r="P10" s="66">
        <f>M10-O10</f>
        <v>0</v>
      </c>
      <c r="Q10" s="29"/>
      <c r="R10" s="18" t="s">
        <v>26</v>
      </c>
      <c r="S10" s="62">
        <f t="shared" si="2"/>
        <v>0</v>
      </c>
    </row>
    <row r="11" spans="2:19">
      <c r="E11" s="41" t="s">
        <v>27</v>
      </c>
      <c r="F11" s="45">
        <f t="shared" ref="F11:O11" si="3">SUM(F3:F10)</f>
        <v>107</v>
      </c>
      <c r="G11" s="45">
        <f t="shared" si="3"/>
        <v>101</v>
      </c>
      <c r="H11" s="45">
        <f t="shared" si="3"/>
        <v>430</v>
      </c>
      <c r="I11" s="45">
        <f t="shared" si="3"/>
        <v>333</v>
      </c>
      <c r="J11" s="45">
        <f t="shared" si="3"/>
        <v>124</v>
      </c>
      <c r="K11" s="45">
        <f t="shared" si="3"/>
        <v>2</v>
      </c>
      <c r="L11" s="45">
        <f t="shared" si="3"/>
        <v>1097</v>
      </c>
      <c r="M11" s="45">
        <f t="shared" si="3"/>
        <v>1097</v>
      </c>
      <c r="N11" s="45">
        <f t="shared" si="3"/>
        <v>0</v>
      </c>
      <c r="O11" s="45">
        <f t="shared" si="3"/>
        <v>1096</v>
      </c>
      <c r="P11" s="45">
        <f>SUM(P3:P10)</f>
        <v>1</v>
      </c>
      <c r="Q11" s="61">
        <f>L11-M11-N11</f>
        <v>0</v>
      </c>
    </row>
    <row r="13" spans="2:19">
      <c r="N13" s="62"/>
    </row>
    <row r="15" spans="2:19">
      <c r="J15" s="62"/>
    </row>
  </sheetData>
  <phoneticPr fontId="4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X245"/>
  <sheetViews>
    <sheetView tabSelected="1" zoomScaleNormal="100" workbookViewId="0">
      <pane xSplit="5" ySplit="2" topLeftCell="J222" activePane="bottomRight" state="frozen"/>
      <selection activeCell="D15" sqref="D15"/>
      <selection pane="topRight" activeCell="D15" sqref="D15"/>
      <selection pane="bottomLeft" activeCell="D15" sqref="D15"/>
      <selection pane="bottomRight" activeCell="M237" sqref="M237"/>
    </sheetView>
  </sheetViews>
  <sheetFormatPr defaultColWidth="9" defaultRowHeight="14.25" customHeight="1"/>
  <cols>
    <col min="1" max="1" width="1" style="18" customWidth="1"/>
    <col min="2" max="2" width="21.88671875" style="18" customWidth="1"/>
    <col min="3" max="3" width="8.44140625" style="18" customWidth="1"/>
    <col min="4" max="4" width="26.33203125" style="18" bestFit="1" customWidth="1"/>
    <col min="5" max="5" width="12.6640625" style="18" bestFit="1" customWidth="1"/>
    <col min="6" max="6" width="11" style="18" bestFit="1" customWidth="1"/>
    <col min="7" max="7" width="9.44140625" style="18" customWidth="1"/>
    <col min="8" max="8" width="8.21875" style="18" bestFit="1" customWidth="1"/>
    <col min="9" max="9" width="11" style="18" bestFit="1" customWidth="1"/>
    <col min="10" max="10" width="13.21875" style="18" customWidth="1"/>
    <col min="11" max="11" width="7.109375" style="18" bestFit="1" customWidth="1"/>
    <col min="12" max="12" width="7" style="18" customWidth="1"/>
    <col min="13" max="13" width="6.5546875" style="18" customWidth="1"/>
    <col min="14" max="14" width="8.88671875" style="18" customWidth="1"/>
    <col min="15" max="15" width="9.44140625" style="18" bestFit="1" customWidth="1"/>
    <col min="16" max="16" width="10.44140625" style="18" bestFit="1" customWidth="1"/>
    <col min="17" max="17" width="7.109375" style="18" bestFit="1" customWidth="1"/>
    <col min="18" max="18" width="10.44140625" style="18" bestFit="1" customWidth="1"/>
    <col min="19" max="23" width="9" style="18"/>
    <col min="24" max="24" width="9" style="18" bestFit="1" customWidth="1"/>
    <col min="25" max="16384" width="9" style="18"/>
  </cols>
  <sheetData>
    <row r="1" spans="2:23" ht="19.8" customHeight="1" thickBot="1">
      <c r="B1" s="136" t="s">
        <v>428</v>
      </c>
    </row>
    <row r="2" spans="2:23" ht="13.2">
      <c r="B2" s="19" t="s">
        <v>151</v>
      </c>
      <c r="C2" s="20" t="s">
        <v>24</v>
      </c>
      <c r="D2" s="20" t="s">
        <v>152</v>
      </c>
      <c r="E2" s="20" t="s">
        <v>30</v>
      </c>
      <c r="F2" s="20" t="s">
        <v>220</v>
      </c>
      <c r="G2" s="20" t="s">
        <v>402</v>
      </c>
      <c r="H2" s="20" t="s">
        <v>153</v>
      </c>
      <c r="I2" s="20" t="s">
        <v>430</v>
      </c>
      <c r="J2" s="77" t="s">
        <v>132</v>
      </c>
      <c r="K2" s="168" t="s">
        <v>148</v>
      </c>
      <c r="L2" s="169" t="s">
        <v>203</v>
      </c>
      <c r="M2" s="169" t="s">
        <v>202</v>
      </c>
      <c r="N2" s="169" t="s">
        <v>154</v>
      </c>
      <c r="O2" s="170" t="s">
        <v>170</v>
      </c>
      <c r="P2" s="171" t="s">
        <v>192</v>
      </c>
      <c r="Q2" s="172" t="s">
        <v>155</v>
      </c>
      <c r="R2" s="169" t="s">
        <v>180</v>
      </c>
      <c r="S2" s="173" t="s">
        <v>156</v>
      </c>
      <c r="T2" s="131" t="s">
        <v>196</v>
      </c>
      <c r="U2" s="30" t="s">
        <v>197</v>
      </c>
      <c r="V2" s="20" t="s">
        <v>157</v>
      </c>
      <c r="W2" s="21" t="s">
        <v>158</v>
      </c>
    </row>
    <row r="3" spans="2:23" ht="13.2">
      <c r="B3" s="22" t="s">
        <v>10</v>
      </c>
      <c r="C3" s="23" t="s">
        <v>9</v>
      </c>
      <c r="D3" s="23" t="s">
        <v>231</v>
      </c>
      <c r="E3" s="99" t="s">
        <v>159</v>
      </c>
      <c r="F3" s="99" t="s">
        <v>400</v>
      </c>
      <c r="G3" s="99" t="s">
        <v>405</v>
      </c>
      <c r="H3" s="23" t="s">
        <v>407</v>
      </c>
      <c r="I3" s="25">
        <v>46068</v>
      </c>
      <c r="J3" s="63" t="s">
        <v>413</v>
      </c>
      <c r="K3" s="74" t="s">
        <v>149</v>
      </c>
      <c r="L3" s="60" t="s">
        <v>150</v>
      </c>
      <c r="M3" s="60" t="s">
        <v>149</v>
      </c>
      <c r="N3" s="60" t="s">
        <v>149</v>
      </c>
      <c r="O3" s="60" t="s">
        <v>41</v>
      </c>
      <c r="P3" s="73" t="s">
        <v>41</v>
      </c>
      <c r="Q3" s="73" t="s">
        <v>41</v>
      </c>
      <c r="R3" s="60" t="s">
        <v>149</v>
      </c>
      <c r="S3" s="78" t="s">
        <v>149</v>
      </c>
      <c r="T3" s="128" t="s">
        <v>149</v>
      </c>
      <c r="U3" s="31" t="s">
        <v>149</v>
      </c>
      <c r="V3" s="23" t="s">
        <v>149</v>
      </c>
      <c r="W3" s="26" t="s">
        <v>149</v>
      </c>
    </row>
    <row r="4" spans="2:23" ht="13.2">
      <c r="B4" s="22" t="s">
        <v>10</v>
      </c>
      <c r="C4" s="23" t="s">
        <v>9</v>
      </c>
      <c r="D4" s="23" t="s">
        <v>231</v>
      </c>
      <c r="E4" s="24" t="s">
        <v>232</v>
      </c>
      <c r="F4" s="99" t="s">
        <v>400</v>
      </c>
      <c r="G4" s="99" t="s">
        <v>405</v>
      </c>
      <c r="H4" s="23" t="s">
        <v>233</v>
      </c>
      <c r="I4" s="25">
        <v>46068</v>
      </c>
      <c r="J4" s="63" t="s">
        <v>413</v>
      </c>
      <c r="K4" s="75" t="s">
        <v>149</v>
      </c>
      <c r="L4" s="23" t="s">
        <v>150</v>
      </c>
      <c r="M4" s="23" t="s">
        <v>150</v>
      </c>
      <c r="N4" s="23" t="s">
        <v>150</v>
      </c>
      <c r="O4" s="23" t="s">
        <v>41</v>
      </c>
      <c r="P4" s="63" t="s">
        <v>41</v>
      </c>
      <c r="Q4" s="63" t="s">
        <v>41</v>
      </c>
      <c r="R4" s="60" t="s">
        <v>149</v>
      </c>
      <c r="S4" s="78" t="s">
        <v>149</v>
      </c>
      <c r="T4" s="128" t="s">
        <v>149</v>
      </c>
      <c r="U4" s="31" t="s">
        <v>149</v>
      </c>
      <c r="V4" s="23" t="s">
        <v>149</v>
      </c>
      <c r="W4" s="26" t="s">
        <v>149</v>
      </c>
    </row>
    <row r="5" spans="2:23" ht="13.2">
      <c r="B5" s="22" t="s">
        <v>10</v>
      </c>
      <c r="C5" s="23" t="s">
        <v>9</v>
      </c>
      <c r="D5" s="23" t="s">
        <v>231</v>
      </c>
      <c r="E5" s="24" t="s">
        <v>234</v>
      </c>
      <c r="F5" s="99" t="s">
        <v>400</v>
      </c>
      <c r="G5" s="99" t="s">
        <v>405</v>
      </c>
      <c r="H5" s="23" t="s">
        <v>233</v>
      </c>
      <c r="I5" s="25">
        <v>46068</v>
      </c>
      <c r="J5" s="63" t="s">
        <v>413</v>
      </c>
      <c r="K5" s="75" t="s">
        <v>149</v>
      </c>
      <c r="L5" s="23" t="s">
        <v>150</v>
      </c>
      <c r="M5" s="23" t="s">
        <v>150</v>
      </c>
      <c r="N5" s="23" t="s">
        <v>150</v>
      </c>
      <c r="O5" s="23" t="s">
        <v>41</v>
      </c>
      <c r="P5" s="63" t="s">
        <v>41</v>
      </c>
      <c r="Q5" s="63" t="s">
        <v>41</v>
      </c>
      <c r="R5" s="60" t="s">
        <v>149</v>
      </c>
      <c r="S5" s="78" t="s">
        <v>149</v>
      </c>
      <c r="T5" s="128" t="s">
        <v>149</v>
      </c>
      <c r="U5" s="31" t="s">
        <v>149</v>
      </c>
      <c r="V5" s="23" t="s">
        <v>149</v>
      </c>
      <c r="W5" s="26" t="s">
        <v>149</v>
      </c>
    </row>
    <row r="6" spans="2:23" ht="13.2">
      <c r="B6" s="22" t="s">
        <v>10</v>
      </c>
      <c r="C6" s="23" t="s">
        <v>9</v>
      </c>
      <c r="D6" s="23" t="s">
        <v>231</v>
      </c>
      <c r="E6" s="24" t="s">
        <v>235</v>
      </c>
      <c r="F6" s="99" t="s">
        <v>400</v>
      </c>
      <c r="G6" s="99" t="s">
        <v>405</v>
      </c>
      <c r="H6" s="23" t="s">
        <v>233</v>
      </c>
      <c r="I6" s="25">
        <v>46068</v>
      </c>
      <c r="J6" s="63" t="s">
        <v>413</v>
      </c>
      <c r="K6" s="75" t="s">
        <v>149</v>
      </c>
      <c r="L6" s="23" t="s">
        <v>150</v>
      </c>
      <c r="M6" s="23" t="s">
        <v>150</v>
      </c>
      <c r="N6" s="23" t="s">
        <v>150</v>
      </c>
      <c r="O6" s="23" t="s">
        <v>41</v>
      </c>
      <c r="P6" s="63" t="s">
        <v>41</v>
      </c>
      <c r="Q6" s="63" t="s">
        <v>41</v>
      </c>
      <c r="R6" s="60" t="s">
        <v>149</v>
      </c>
      <c r="S6" s="78" t="s">
        <v>149</v>
      </c>
      <c r="T6" s="128" t="s">
        <v>149</v>
      </c>
      <c r="U6" s="31" t="s">
        <v>149</v>
      </c>
      <c r="V6" s="23" t="s">
        <v>149</v>
      </c>
      <c r="W6" s="26" t="s">
        <v>149</v>
      </c>
    </row>
    <row r="7" spans="2:23" ht="13.2">
      <c r="B7" s="22" t="s">
        <v>10</v>
      </c>
      <c r="C7" s="23" t="s">
        <v>9</v>
      </c>
      <c r="D7" s="23" t="s">
        <v>231</v>
      </c>
      <c r="E7" s="24" t="s">
        <v>236</v>
      </c>
      <c r="F7" s="99" t="s">
        <v>400</v>
      </c>
      <c r="G7" s="99" t="s">
        <v>405</v>
      </c>
      <c r="H7" s="23" t="s">
        <v>233</v>
      </c>
      <c r="I7" s="25">
        <v>46068</v>
      </c>
      <c r="J7" s="63" t="s">
        <v>413</v>
      </c>
      <c r="K7" s="75" t="s">
        <v>149</v>
      </c>
      <c r="L7" s="23" t="s">
        <v>150</v>
      </c>
      <c r="M7" s="23" t="s">
        <v>150</v>
      </c>
      <c r="N7" s="23" t="s">
        <v>150</v>
      </c>
      <c r="O7" s="23" t="s">
        <v>41</v>
      </c>
      <c r="P7" s="63" t="s">
        <v>41</v>
      </c>
      <c r="Q7" s="63" t="s">
        <v>41</v>
      </c>
      <c r="R7" s="60" t="s">
        <v>149</v>
      </c>
      <c r="S7" s="78" t="s">
        <v>149</v>
      </c>
      <c r="T7" s="128" t="s">
        <v>149</v>
      </c>
      <c r="U7" s="31" t="s">
        <v>149</v>
      </c>
      <c r="V7" s="23" t="s">
        <v>149</v>
      </c>
      <c r="W7" s="26" t="s">
        <v>149</v>
      </c>
    </row>
    <row r="8" spans="2:23" ht="13.2">
      <c r="B8" s="22" t="s">
        <v>10</v>
      </c>
      <c r="C8" s="23" t="s">
        <v>9</v>
      </c>
      <c r="D8" s="23" t="s">
        <v>231</v>
      </c>
      <c r="E8" s="24" t="s">
        <v>268</v>
      </c>
      <c r="F8" s="99" t="s">
        <v>400</v>
      </c>
      <c r="G8" s="99" t="s">
        <v>405</v>
      </c>
      <c r="H8" s="23" t="s">
        <v>233</v>
      </c>
      <c r="I8" s="25">
        <v>46077</v>
      </c>
      <c r="J8" s="63" t="s">
        <v>414</v>
      </c>
      <c r="K8" s="75" t="s">
        <v>149</v>
      </c>
      <c r="L8" s="23" t="s">
        <v>150</v>
      </c>
      <c r="M8" s="23" t="s">
        <v>150</v>
      </c>
      <c r="N8" s="23" t="s">
        <v>150</v>
      </c>
      <c r="O8" s="23" t="s">
        <v>41</v>
      </c>
      <c r="P8" s="63" t="s">
        <v>41</v>
      </c>
      <c r="Q8" s="63" t="s">
        <v>41</v>
      </c>
      <c r="R8" s="60" t="s">
        <v>149</v>
      </c>
      <c r="S8" s="78" t="s">
        <v>149</v>
      </c>
      <c r="T8" s="128" t="s">
        <v>149</v>
      </c>
      <c r="U8" s="31" t="s">
        <v>149</v>
      </c>
      <c r="V8" s="23" t="s">
        <v>149</v>
      </c>
      <c r="W8" s="26" t="s">
        <v>149</v>
      </c>
    </row>
    <row r="9" spans="2:23" ht="13.2">
      <c r="B9" s="22" t="s">
        <v>10</v>
      </c>
      <c r="C9" s="23" t="s">
        <v>9</v>
      </c>
      <c r="D9" s="23" t="s">
        <v>231</v>
      </c>
      <c r="E9" s="24" t="s">
        <v>237</v>
      </c>
      <c r="F9" s="99" t="s">
        <v>400</v>
      </c>
      <c r="G9" s="99" t="s">
        <v>405</v>
      </c>
      <c r="H9" s="23" t="s">
        <v>233</v>
      </c>
      <c r="I9" s="25">
        <v>46068</v>
      </c>
      <c r="J9" s="63" t="s">
        <v>413</v>
      </c>
      <c r="K9" s="75" t="s">
        <v>149</v>
      </c>
      <c r="L9" s="23" t="s">
        <v>150</v>
      </c>
      <c r="M9" s="23" t="s">
        <v>150</v>
      </c>
      <c r="N9" s="23" t="s">
        <v>150</v>
      </c>
      <c r="O9" s="23" t="s">
        <v>41</v>
      </c>
      <c r="P9" s="63" t="s">
        <v>41</v>
      </c>
      <c r="Q9" s="63" t="s">
        <v>41</v>
      </c>
      <c r="R9" s="60" t="s">
        <v>149</v>
      </c>
      <c r="S9" s="78" t="s">
        <v>149</v>
      </c>
      <c r="T9" s="128" t="s">
        <v>149</v>
      </c>
      <c r="U9" s="31" t="s">
        <v>149</v>
      </c>
      <c r="V9" s="23" t="s">
        <v>149</v>
      </c>
      <c r="W9" s="26" t="s">
        <v>149</v>
      </c>
    </row>
    <row r="10" spans="2:23" ht="13.2">
      <c r="B10" s="22" t="s">
        <v>10</v>
      </c>
      <c r="C10" s="23" t="s">
        <v>9</v>
      </c>
      <c r="D10" s="23" t="s">
        <v>231</v>
      </c>
      <c r="E10" s="24" t="s">
        <v>238</v>
      </c>
      <c r="F10" s="99" t="s">
        <v>400</v>
      </c>
      <c r="G10" s="99" t="s">
        <v>405</v>
      </c>
      <c r="H10" s="23" t="s">
        <v>233</v>
      </c>
      <c r="I10" s="25">
        <v>46068</v>
      </c>
      <c r="J10" s="63" t="s">
        <v>414</v>
      </c>
      <c r="K10" s="75" t="s">
        <v>149</v>
      </c>
      <c r="L10" s="23" t="s">
        <v>150</v>
      </c>
      <c r="M10" s="23" t="s">
        <v>150</v>
      </c>
      <c r="N10" s="23" t="s">
        <v>150</v>
      </c>
      <c r="O10" s="23" t="s">
        <v>41</v>
      </c>
      <c r="P10" s="63" t="s">
        <v>41</v>
      </c>
      <c r="Q10" s="63" t="s">
        <v>41</v>
      </c>
      <c r="R10" s="60" t="s">
        <v>149</v>
      </c>
      <c r="S10" s="78" t="s">
        <v>149</v>
      </c>
      <c r="T10" s="128" t="s">
        <v>149</v>
      </c>
      <c r="U10" s="31" t="s">
        <v>149</v>
      </c>
      <c r="V10" s="23" t="s">
        <v>149</v>
      </c>
      <c r="W10" s="26" t="s">
        <v>149</v>
      </c>
    </row>
    <row r="11" spans="2:23" ht="13.2">
      <c r="B11" s="22" t="s">
        <v>10</v>
      </c>
      <c r="C11" s="23" t="s">
        <v>9</v>
      </c>
      <c r="D11" s="23" t="s">
        <v>231</v>
      </c>
      <c r="E11" s="24" t="s">
        <v>239</v>
      </c>
      <c r="F11" s="99" t="s">
        <v>400</v>
      </c>
      <c r="G11" s="99" t="s">
        <v>405</v>
      </c>
      <c r="H11" s="23" t="s">
        <v>233</v>
      </c>
      <c r="I11" s="25">
        <v>46068</v>
      </c>
      <c r="J11" s="63" t="s">
        <v>413</v>
      </c>
      <c r="K11" s="75" t="s">
        <v>149</v>
      </c>
      <c r="L11" s="23" t="s">
        <v>150</v>
      </c>
      <c r="M11" s="23" t="s">
        <v>150</v>
      </c>
      <c r="N11" s="23" t="s">
        <v>150</v>
      </c>
      <c r="O11" s="23" t="s">
        <v>41</v>
      </c>
      <c r="P11" s="63" t="s">
        <v>41</v>
      </c>
      <c r="Q11" s="63" t="s">
        <v>41</v>
      </c>
      <c r="R11" s="60" t="s">
        <v>149</v>
      </c>
      <c r="S11" s="78" t="s">
        <v>149</v>
      </c>
      <c r="T11" s="128" t="s">
        <v>149</v>
      </c>
      <c r="U11" s="31" t="s">
        <v>149</v>
      </c>
      <c r="V11" s="23" t="s">
        <v>149</v>
      </c>
      <c r="W11" s="26" t="s">
        <v>149</v>
      </c>
    </row>
    <row r="12" spans="2:23" ht="13.2">
      <c r="B12" s="22" t="s">
        <v>10</v>
      </c>
      <c r="C12" s="23" t="s">
        <v>9</v>
      </c>
      <c r="D12" s="23" t="s">
        <v>231</v>
      </c>
      <c r="E12" s="24" t="s">
        <v>240</v>
      </c>
      <c r="F12" s="99" t="s">
        <v>400</v>
      </c>
      <c r="G12" s="99" t="s">
        <v>405</v>
      </c>
      <c r="H12" s="23" t="s">
        <v>233</v>
      </c>
      <c r="I12" s="25">
        <v>46068</v>
      </c>
      <c r="J12" s="63" t="s">
        <v>414</v>
      </c>
      <c r="K12" s="75" t="s">
        <v>149</v>
      </c>
      <c r="L12" s="23" t="s">
        <v>150</v>
      </c>
      <c r="M12" s="23" t="s">
        <v>150</v>
      </c>
      <c r="N12" s="23" t="s">
        <v>150</v>
      </c>
      <c r="O12" s="23" t="s">
        <v>41</v>
      </c>
      <c r="P12" s="63" t="s">
        <v>41</v>
      </c>
      <c r="Q12" s="63" t="s">
        <v>41</v>
      </c>
      <c r="R12" s="60" t="s">
        <v>149</v>
      </c>
      <c r="S12" s="78" t="s">
        <v>149</v>
      </c>
      <c r="T12" s="128" t="s">
        <v>149</v>
      </c>
      <c r="U12" s="31" t="s">
        <v>149</v>
      </c>
      <c r="V12" s="23" t="s">
        <v>149</v>
      </c>
      <c r="W12" s="26" t="s">
        <v>149</v>
      </c>
    </row>
    <row r="13" spans="2:23" ht="13.2">
      <c r="B13" s="22" t="s">
        <v>10</v>
      </c>
      <c r="C13" s="23" t="s">
        <v>9</v>
      </c>
      <c r="D13" s="23" t="s">
        <v>231</v>
      </c>
      <c r="E13" s="24" t="s">
        <v>269</v>
      </c>
      <c r="F13" s="99" t="s">
        <v>400</v>
      </c>
      <c r="G13" s="99" t="s">
        <v>405</v>
      </c>
      <c r="H13" s="23" t="s">
        <v>233</v>
      </c>
      <c r="I13" s="25">
        <v>46068</v>
      </c>
      <c r="J13" s="63" t="s">
        <v>413</v>
      </c>
      <c r="K13" s="75" t="s">
        <v>149</v>
      </c>
      <c r="L13" s="23" t="s">
        <v>150</v>
      </c>
      <c r="M13" s="23" t="s">
        <v>150</v>
      </c>
      <c r="N13" s="23" t="s">
        <v>150</v>
      </c>
      <c r="O13" s="23" t="s">
        <v>91</v>
      </c>
      <c r="P13" s="63" t="s">
        <v>41</v>
      </c>
      <c r="Q13" s="63" t="s">
        <v>41</v>
      </c>
      <c r="R13" s="60" t="s">
        <v>149</v>
      </c>
      <c r="S13" s="78" t="s">
        <v>149</v>
      </c>
      <c r="T13" s="128" t="s">
        <v>149</v>
      </c>
      <c r="U13" s="31" t="s">
        <v>149</v>
      </c>
      <c r="V13" s="23" t="s">
        <v>149</v>
      </c>
      <c r="W13" s="26" t="s">
        <v>149</v>
      </c>
    </row>
    <row r="14" spans="2:23" ht="13.2">
      <c r="B14" s="22" t="s">
        <v>14</v>
      </c>
      <c r="C14" s="23" t="s">
        <v>13</v>
      </c>
      <c r="D14" s="23" t="s">
        <v>160</v>
      </c>
      <c r="E14" s="24" t="s">
        <v>159</v>
      </c>
      <c r="F14" s="99" t="s">
        <v>400</v>
      </c>
      <c r="G14" s="99" t="s">
        <v>405</v>
      </c>
      <c r="H14" s="23" t="s">
        <v>407</v>
      </c>
      <c r="I14" s="25">
        <v>46052</v>
      </c>
      <c r="J14" s="63" t="s">
        <v>414</v>
      </c>
      <c r="K14" s="75" t="s">
        <v>149</v>
      </c>
      <c r="L14" s="60" t="s">
        <v>150</v>
      </c>
      <c r="M14" s="60" t="s">
        <v>149</v>
      </c>
      <c r="N14" s="23" t="s">
        <v>149</v>
      </c>
      <c r="O14" s="23" t="s">
        <v>91</v>
      </c>
      <c r="P14" s="63" t="s">
        <v>41</v>
      </c>
      <c r="Q14" s="63" t="s">
        <v>41</v>
      </c>
      <c r="R14" s="60" t="s">
        <v>149</v>
      </c>
      <c r="S14" s="78" t="s">
        <v>149</v>
      </c>
      <c r="T14" s="128" t="s">
        <v>149</v>
      </c>
      <c r="U14" s="31" t="s">
        <v>149</v>
      </c>
      <c r="V14" s="23" t="s">
        <v>149</v>
      </c>
      <c r="W14" s="26" t="s">
        <v>149</v>
      </c>
    </row>
    <row r="15" spans="2:23" ht="13.2">
      <c r="B15" s="22" t="s">
        <v>14</v>
      </c>
      <c r="C15" s="23" t="s">
        <v>13</v>
      </c>
      <c r="D15" s="23" t="s">
        <v>161</v>
      </c>
      <c r="E15" s="24" t="s">
        <v>159</v>
      </c>
      <c r="F15" s="99" t="s">
        <v>400</v>
      </c>
      <c r="G15" s="99" t="s">
        <v>405</v>
      </c>
      <c r="H15" s="23" t="s">
        <v>407</v>
      </c>
      <c r="I15" s="25">
        <v>46052</v>
      </c>
      <c r="J15" s="63" t="s">
        <v>414</v>
      </c>
      <c r="K15" s="75" t="s">
        <v>149</v>
      </c>
      <c r="L15" s="60" t="s">
        <v>150</v>
      </c>
      <c r="M15" s="60" t="s">
        <v>149</v>
      </c>
      <c r="N15" s="23" t="s">
        <v>149</v>
      </c>
      <c r="O15" s="23" t="s">
        <v>91</v>
      </c>
      <c r="P15" s="63" t="s">
        <v>41</v>
      </c>
      <c r="Q15" s="63" t="s">
        <v>41</v>
      </c>
      <c r="R15" s="60" t="s">
        <v>149</v>
      </c>
      <c r="S15" s="78" t="s">
        <v>149</v>
      </c>
      <c r="T15" s="128" t="s">
        <v>149</v>
      </c>
      <c r="U15" s="31" t="s">
        <v>149</v>
      </c>
      <c r="V15" s="23" t="s">
        <v>149</v>
      </c>
      <c r="W15" s="26" t="s">
        <v>149</v>
      </c>
    </row>
    <row r="16" spans="2:23" ht="13.2">
      <c r="B16" s="22" t="s">
        <v>14</v>
      </c>
      <c r="C16" s="23" t="s">
        <v>13</v>
      </c>
      <c r="D16" s="23" t="s">
        <v>162</v>
      </c>
      <c r="E16" s="24" t="s">
        <v>159</v>
      </c>
      <c r="F16" s="99" t="s">
        <v>400</v>
      </c>
      <c r="G16" s="99" t="s">
        <v>405</v>
      </c>
      <c r="H16" s="23" t="s">
        <v>407</v>
      </c>
      <c r="I16" s="25">
        <v>46052</v>
      </c>
      <c r="J16" s="63" t="s">
        <v>414</v>
      </c>
      <c r="K16" s="75" t="s">
        <v>149</v>
      </c>
      <c r="L16" s="60" t="s">
        <v>150</v>
      </c>
      <c r="M16" s="60" t="s">
        <v>149</v>
      </c>
      <c r="N16" s="23" t="s">
        <v>149</v>
      </c>
      <c r="O16" s="23" t="s">
        <v>91</v>
      </c>
      <c r="P16" s="63" t="s">
        <v>41</v>
      </c>
      <c r="Q16" s="63" t="s">
        <v>41</v>
      </c>
      <c r="R16" s="60" t="s">
        <v>149</v>
      </c>
      <c r="S16" s="78" t="s">
        <v>149</v>
      </c>
      <c r="T16" s="128" t="s">
        <v>149</v>
      </c>
      <c r="U16" s="31" t="s">
        <v>149</v>
      </c>
      <c r="V16" s="23" t="s">
        <v>149</v>
      </c>
      <c r="W16" s="26" t="s">
        <v>149</v>
      </c>
    </row>
    <row r="17" spans="1:24" ht="13.2">
      <c r="B17" s="22" t="s">
        <v>14</v>
      </c>
      <c r="C17" s="23" t="s">
        <v>13</v>
      </c>
      <c r="D17" s="23" t="s">
        <v>163</v>
      </c>
      <c r="E17" s="24" t="s">
        <v>159</v>
      </c>
      <c r="F17" s="99" t="s">
        <v>400</v>
      </c>
      <c r="G17" s="99" t="s">
        <v>405</v>
      </c>
      <c r="H17" s="23" t="s">
        <v>407</v>
      </c>
      <c r="I17" s="25">
        <v>46052</v>
      </c>
      <c r="J17" s="63" t="s">
        <v>414</v>
      </c>
      <c r="K17" s="75" t="s">
        <v>149</v>
      </c>
      <c r="L17" s="60" t="s">
        <v>150</v>
      </c>
      <c r="M17" s="60" t="s">
        <v>149</v>
      </c>
      <c r="N17" s="23" t="s">
        <v>149</v>
      </c>
      <c r="O17" s="23" t="s">
        <v>91</v>
      </c>
      <c r="P17" s="63" t="s">
        <v>41</v>
      </c>
      <c r="Q17" s="63" t="s">
        <v>41</v>
      </c>
      <c r="R17" s="60" t="s">
        <v>149</v>
      </c>
      <c r="S17" s="78" t="s">
        <v>149</v>
      </c>
      <c r="T17" s="128" t="s">
        <v>149</v>
      </c>
      <c r="U17" s="31" t="s">
        <v>149</v>
      </c>
      <c r="V17" s="23" t="s">
        <v>149</v>
      </c>
      <c r="W17" s="26" t="s">
        <v>149</v>
      </c>
    </row>
    <row r="18" spans="1:24" ht="13.2">
      <c r="B18" s="22" t="s">
        <v>14</v>
      </c>
      <c r="C18" s="23" t="s">
        <v>13</v>
      </c>
      <c r="D18" s="23" t="s">
        <v>164</v>
      </c>
      <c r="E18" s="23" t="s">
        <v>159</v>
      </c>
      <c r="F18" s="99" t="s">
        <v>400</v>
      </c>
      <c r="G18" s="99" t="s">
        <v>405</v>
      </c>
      <c r="H18" s="23" t="s">
        <v>407</v>
      </c>
      <c r="I18" s="25">
        <v>46052</v>
      </c>
      <c r="J18" s="63" t="s">
        <v>414</v>
      </c>
      <c r="K18" s="75" t="s">
        <v>149</v>
      </c>
      <c r="L18" s="60" t="s">
        <v>150</v>
      </c>
      <c r="M18" s="60" t="s">
        <v>149</v>
      </c>
      <c r="N18" s="23" t="s">
        <v>149</v>
      </c>
      <c r="O18" s="23" t="s">
        <v>91</v>
      </c>
      <c r="P18" s="63" t="s">
        <v>41</v>
      </c>
      <c r="Q18" s="63" t="s">
        <v>41</v>
      </c>
      <c r="R18" s="60" t="s">
        <v>149</v>
      </c>
      <c r="S18" s="78" t="s">
        <v>149</v>
      </c>
      <c r="T18" s="128" t="s">
        <v>149</v>
      </c>
      <c r="U18" s="31" t="s">
        <v>149</v>
      </c>
      <c r="V18" s="23" t="s">
        <v>149</v>
      </c>
      <c r="W18" s="26" t="s">
        <v>149</v>
      </c>
    </row>
    <row r="19" spans="1:24" ht="13.2">
      <c r="B19" s="22" t="s">
        <v>14</v>
      </c>
      <c r="C19" s="23" t="s">
        <v>13</v>
      </c>
      <c r="D19" s="23" t="s">
        <v>160</v>
      </c>
      <c r="E19" s="23" t="s">
        <v>262</v>
      </c>
      <c r="F19" s="99" t="s">
        <v>400</v>
      </c>
      <c r="G19" s="99" t="s">
        <v>405</v>
      </c>
      <c r="H19" s="23" t="s">
        <v>407</v>
      </c>
      <c r="I19" s="25">
        <v>46057</v>
      </c>
      <c r="J19" s="63" t="s">
        <v>414</v>
      </c>
      <c r="K19" s="75" t="s">
        <v>149</v>
      </c>
      <c r="L19" s="23" t="s">
        <v>150</v>
      </c>
      <c r="M19" s="23" t="s">
        <v>150</v>
      </c>
      <c r="N19" s="23" t="s">
        <v>150</v>
      </c>
      <c r="O19" s="23" t="s">
        <v>91</v>
      </c>
      <c r="P19" s="63" t="s">
        <v>41</v>
      </c>
      <c r="Q19" s="63" t="s">
        <v>41</v>
      </c>
      <c r="R19" s="60" t="s">
        <v>149</v>
      </c>
      <c r="S19" s="78" t="s">
        <v>149</v>
      </c>
      <c r="T19" s="128" t="s">
        <v>149</v>
      </c>
      <c r="U19" s="31" t="s">
        <v>149</v>
      </c>
      <c r="V19" s="23" t="s">
        <v>149</v>
      </c>
      <c r="W19" s="26" t="s">
        <v>149</v>
      </c>
    </row>
    <row r="20" spans="1:24" ht="13.2">
      <c r="B20" s="22" t="s">
        <v>14</v>
      </c>
      <c r="C20" s="23" t="s">
        <v>13</v>
      </c>
      <c r="D20" s="23" t="s">
        <v>162</v>
      </c>
      <c r="E20" s="23" t="s">
        <v>262</v>
      </c>
      <c r="F20" s="99" t="s">
        <v>400</v>
      </c>
      <c r="G20" s="99" t="s">
        <v>405</v>
      </c>
      <c r="H20" s="23" t="s">
        <v>407</v>
      </c>
      <c r="I20" s="25">
        <v>46057</v>
      </c>
      <c r="J20" s="63" t="s">
        <v>414</v>
      </c>
      <c r="K20" s="75" t="s">
        <v>149</v>
      </c>
      <c r="L20" s="23" t="s">
        <v>150</v>
      </c>
      <c r="M20" s="23" t="s">
        <v>150</v>
      </c>
      <c r="N20" s="23" t="s">
        <v>150</v>
      </c>
      <c r="O20" s="23" t="s">
        <v>91</v>
      </c>
      <c r="P20" s="63" t="s">
        <v>41</v>
      </c>
      <c r="Q20" s="63" t="s">
        <v>41</v>
      </c>
      <c r="R20" s="60" t="s">
        <v>149</v>
      </c>
      <c r="S20" s="78" t="s">
        <v>149</v>
      </c>
      <c r="T20" s="128" t="s">
        <v>149</v>
      </c>
      <c r="U20" s="31" t="s">
        <v>149</v>
      </c>
      <c r="V20" s="23" t="s">
        <v>149</v>
      </c>
      <c r="W20" s="26" t="s">
        <v>149</v>
      </c>
    </row>
    <row r="21" spans="1:24" ht="13.2">
      <c r="B21" s="22" t="s">
        <v>14</v>
      </c>
      <c r="C21" s="23" t="s">
        <v>13</v>
      </c>
      <c r="D21" s="23" t="s">
        <v>163</v>
      </c>
      <c r="E21" s="23" t="s">
        <v>262</v>
      </c>
      <c r="F21" s="99" t="s">
        <v>400</v>
      </c>
      <c r="G21" s="99" t="s">
        <v>405</v>
      </c>
      <c r="H21" s="23" t="s">
        <v>406</v>
      </c>
      <c r="I21" s="25">
        <v>46057</v>
      </c>
      <c r="J21" s="63" t="s">
        <v>414</v>
      </c>
      <c r="K21" s="75" t="s">
        <v>149</v>
      </c>
      <c r="L21" s="23" t="s">
        <v>150</v>
      </c>
      <c r="M21" s="23" t="s">
        <v>150</v>
      </c>
      <c r="N21" s="23" t="s">
        <v>150</v>
      </c>
      <c r="O21" s="23" t="s">
        <v>91</v>
      </c>
      <c r="P21" s="63" t="s">
        <v>41</v>
      </c>
      <c r="Q21" s="63" t="s">
        <v>41</v>
      </c>
      <c r="R21" s="60" t="s">
        <v>149</v>
      </c>
      <c r="S21" s="78" t="s">
        <v>149</v>
      </c>
      <c r="T21" s="128" t="s">
        <v>149</v>
      </c>
      <c r="U21" s="31" t="s">
        <v>149</v>
      </c>
      <c r="V21" s="23" t="s">
        <v>149</v>
      </c>
      <c r="W21" s="26" t="s">
        <v>149</v>
      </c>
    </row>
    <row r="22" spans="1:24" ht="13.2">
      <c r="B22" s="22" t="s">
        <v>14</v>
      </c>
      <c r="C22" s="23" t="s">
        <v>13</v>
      </c>
      <c r="D22" s="23" t="s">
        <v>160</v>
      </c>
      <c r="E22" s="23" t="s">
        <v>270</v>
      </c>
      <c r="F22" s="99" t="s">
        <v>400</v>
      </c>
      <c r="G22" s="99" t="s">
        <v>405</v>
      </c>
      <c r="H22" s="23" t="s">
        <v>407</v>
      </c>
      <c r="I22" s="25">
        <v>46057</v>
      </c>
      <c r="J22" s="63" t="s">
        <v>414</v>
      </c>
      <c r="K22" s="75" t="s">
        <v>149</v>
      </c>
      <c r="L22" s="23" t="s">
        <v>150</v>
      </c>
      <c r="M22" s="23" t="s">
        <v>150</v>
      </c>
      <c r="N22" s="23" t="s">
        <v>150</v>
      </c>
      <c r="O22" s="23" t="s">
        <v>91</v>
      </c>
      <c r="P22" s="63" t="s">
        <v>41</v>
      </c>
      <c r="Q22" s="63" t="s">
        <v>41</v>
      </c>
      <c r="R22" s="60" t="s">
        <v>149</v>
      </c>
      <c r="S22" s="78" t="s">
        <v>149</v>
      </c>
      <c r="T22" s="128" t="s">
        <v>149</v>
      </c>
      <c r="U22" s="31" t="s">
        <v>149</v>
      </c>
      <c r="V22" s="23" t="s">
        <v>149</v>
      </c>
      <c r="W22" s="26" t="s">
        <v>149</v>
      </c>
    </row>
    <row r="23" spans="1:24" ht="13.2">
      <c r="B23" s="22" t="s">
        <v>14</v>
      </c>
      <c r="C23" s="23" t="s">
        <v>13</v>
      </c>
      <c r="D23" s="23" t="s">
        <v>160</v>
      </c>
      <c r="E23" s="23" t="s">
        <v>271</v>
      </c>
      <c r="F23" s="99" t="s">
        <v>400</v>
      </c>
      <c r="G23" s="99" t="s">
        <v>405</v>
      </c>
      <c r="H23" s="23" t="s">
        <v>407</v>
      </c>
      <c r="I23" s="25">
        <v>46056</v>
      </c>
      <c r="J23" s="63" t="s">
        <v>414</v>
      </c>
      <c r="K23" s="75" t="s">
        <v>149</v>
      </c>
      <c r="L23" s="23" t="s">
        <v>149</v>
      </c>
      <c r="M23" s="23" t="s">
        <v>150</v>
      </c>
      <c r="N23" s="23" t="s">
        <v>149</v>
      </c>
      <c r="O23" s="23" t="s">
        <v>91</v>
      </c>
      <c r="P23" s="63" t="s">
        <v>41</v>
      </c>
      <c r="Q23" s="63" t="s">
        <v>41</v>
      </c>
      <c r="R23" s="60" t="s">
        <v>149</v>
      </c>
      <c r="S23" s="78" t="s">
        <v>149</v>
      </c>
      <c r="T23" s="128" t="s">
        <v>149</v>
      </c>
      <c r="U23" s="31" t="s">
        <v>149</v>
      </c>
      <c r="V23" s="23" t="s">
        <v>149</v>
      </c>
      <c r="W23" s="26" t="s">
        <v>149</v>
      </c>
    </row>
    <row r="24" spans="1:24" ht="13.2">
      <c r="B24" s="22" t="s">
        <v>14</v>
      </c>
      <c r="C24" s="23" t="s">
        <v>13</v>
      </c>
      <c r="D24" s="23" t="s">
        <v>160</v>
      </c>
      <c r="E24" s="24" t="s">
        <v>240</v>
      </c>
      <c r="F24" s="99" t="s">
        <v>400</v>
      </c>
      <c r="G24" s="99" t="s">
        <v>405</v>
      </c>
      <c r="H24" s="23" t="s">
        <v>233</v>
      </c>
      <c r="I24" s="25">
        <v>46057</v>
      </c>
      <c r="J24" s="63" t="s">
        <v>413</v>
      </c>
      <c r="K24" s="75" t="s">
        <v>149</v>
      </c>
      <c r="L24" s="23" t="s">
        <v>150</v>
      </c>
      <c r="M24" s="23" t="s">
        <v>150</v>
      </c>
      <c r="N24" s="23" t="s">
        <v>150</v>
      </c>
      <c r="O24" s="23" t="s">
        <v>91</v>
      </c>
      <c r="P24" s="63" t="s">
        <v>41</v>
      </c>
      <c r="Q24" s="63" t="s">
        <v>41</v>
      </c>
      <c r="R24" s="60" t="s">
        <v>149</v>
      </c>
      <c r="S24" s="78" t="s">
        <v>149</v>
      </c>
      <c r="T24" s="128" t="s">
        <v>149</v>
      </c>
      <c r="U24" s="31" t="s">
        <v>149</v>
      </c>
      <c r="V24" s="23" t="s">
        <v>149</v>
      </c>
      <c r="W24" s="26" t="s">
        <v>149</v>
      </c>
    </row>
    <row r="25" spans="1:24" ht="13.2">
      <c r="B25" s="22" t="s">
        <v>14</v>
      </c>
      <c r="C25" s="23" t="s">
        <v>13</v>
      </c>
      <c r="D25" s="23" t="s">
        <v>162</v>
      </c>
      <c r="E25" s="24" t="s">
        <v>240</v>
      </c>
      <c r="F25" s="99" t="s">
        <v>400</v>
      </c>
      <c r="G25" s="99" t="s">
        <v>405</v>
      </c>
      <c r="H25" s="23" t="s">
        <v>233</v>
      </c>
      <c r="I25" s="25">
        <v>46057</v>
      </c>
      <c r="J25" s="63" t="s">
        <v>413</v>
      </c>
      <c r="K25" s="75" t="s">
        <v>149</v>
      </c>
      <c r="L25" s="23" t="s">
        <v>150</v>
      </c>
      <c r="M25" s="23" t="s">
        <v>150</v>
      </c>
      <c r="N25" s="23" t="s">
        <v>150</v>
      </c>
      <c r="O25" s="23" t="s">
        <v>91</v>
      </c>
      <c r="P25" s="63" t="s">
        <v>41</v>
      </c>
      <c r="Q25" s="63" t="s">
        <v>41</v>
      </c>
      <c r="R25" s="60" t="s">
        <v>149</v>
      </c>
      <c r="S25" s="78" t="s">
        <v>149</v>
      </c>
      <c r="T25" s="128" t="s">
        <v>149</v>
      </c>
      <c r="U25" s="31" t="s">
        <v>149</v>
      </c>
      <c r="V25" s="23" t="s">
        <v>149</v>
      </c>
      <c r="W25" s="26" t="s">
        <v>149</v>
      </c>
    </row>
    <row r="26" spans="1:24" ht="13.2">
      <c r="A26" s="69"/>
      <c r="B26" s="70" t="s">
        <v>14</v>
      </c>
      <c r="C26" s="60" t="s">
        <v>13</v>
      </c>
      <c r="D26" s="60" t="s">
        <v>164</v>
      </c>
      <c r="E26" s="24" t="s">
        <v>240</v>
      </c>
      <c r="F26" s="99" t="s">
        <v>400</v>
      </c>
      <c r="G26" s="99" t="s">
        <v>405</v>
      </c>
      <c r="H26" s="23" t="s">
        <v>233</v>
      </c>
      <c r="I26" s="72">
        <v>46057</v>
      </c>
      <c r="J26" s="73" t="s">
        <v>413</v>
      </c>
      <c r="K26" s="74" t="s">
        <v>149</v>
      </c>
      <c r="L26" s="23" t="s">
        <v>150</v>
      </c>
      <c r="M26" s="23" t="s">
        <v>150</v>
      </c>
      <c r="N26" s="23" t="s">
        <v>150</v>
      </c>
      <c r="O26" s="60" t="s">
        <v>91</v>
      </c>
      <c r="P26" s="73" t="s">
        <v>41</v>
      </c>
      <c r="Q26" s="73" t="s">
        <v>41</v>
      </c>
      <c r="R26" s="60" t="s">
        <v>149</v>
      </c>
      <c r="S26" s="78" t="s">
        <v>149</v>
      </c>
      <c r="T26" s="128" t="s">
        <v>149</v>
      </c>
      <c r="U26" s="31" t="s">
        <v>149</v>
      </c>
      <c r="V26" s="23" t="s">
        <v>149</v>
      </c>
      <c r="W26" s="26" t="s">
        <v>149</v>
      </c>
      <c r="X26" s="69"/>
    </row>
    <row r="27" spans="1:24" ht="13.2">
      <c r="B27" s="22" t="s">
        <v>14</v>
      </c>
      <c r="C27" s="23" t="s">
        <v>13</v>
      </c>
      <c r="D27" s="23" t="s">
        <v>163</v>
      </c>
      <c r="E27" s="24" t="s">
        <v>240</v>
      </c>
      <c r="F27" s="99" t="s">
        <v>400</v>
      </c>
      <c r="G27" s="99" t="s">
        <v>405</v>
      </c>
      <c r="H27" s="23" t="s">
        <v>233</v>
      </c>
      <c r="I27" s="25">
        <v>46057</v>
      </c>
      <c r="J27" s="63" t="s">
        <v>413</v>
      </c>
      <c r="K27" s="74" t="s">
        <v>149</v>
      </c>
      <c r="L27" s="23" t="s">
        <v>150</v>
      </c>
      <c r="M27" s="23" t="s">
        <v>150</v>
      </c>
      <c r="N27" s="23" t="s">
        <v>150</v>
      </c>
      <c r="O27" s="60" t="s">
        <v>91</v>
      </c>
      <c r="P27" s="73" t="s">
        <v>41</v>
      </c>
      <c r="Q27" s="73" t="s">
        <v>41</v>
      </c>
      <c r="R27" s="60" t="s">
        <v>149</v>
      </c>
      <c r="S27" s="78" t="s">
        <v>149</v>
      </c>
      <c r="T27" s="128" t="s">
        <v>149</v>
      </c>
      <c r="U27" s="31" t="s">
        <v>149</v>
      </c>
      <c r="V27" s="23" t="s">
        <v>149</v>
      </c>
      <c r="W27" s="26" t="s">
        <v>149</v>
      </c>
    </row>
    <row r="28" spans="1:24" ht="13.2">
      <c r="B28" s="83" t="s">
        <v>14</v>
      </c>
      <c r="C28" s="84" t="s">
        <v>13</v>
      </c>
      <c r="D28" s="84" t="s">
        <v>161</v>
      </c>
      <c r="E28" s="24" t="s">
        <v>240</v>
      </c>
      <c r="F28" s="99" t="s">
        <v>400</v>
      </c>
      <c r="G28" s="99" t="s">
        <v>405</v>
      </c>
      <c r="H28" s="23" t="s">
        <v>233</v>
      </c>
      <c r="I28" s="137">
        <v>46057</v>
      </c>
      <c r="J28" s="85" t="s">
        <v>413</v>
      </c>
      <c r="K28" s="161" t="s">
        <v>149</v>
      </c>
      <c r="L28" s="84" t="s">
        <v>150</v>
      </c>
      <c r="M28" s="23" t="s">
        <v>150</v>
      </c>
      <c r="N28" s="84" t="s">
        <v>150</v>
      </c>
      <c r="O28" s="162" t="s">
        <v>41</v>
      </c>
      <c r="P28" s="163" t="s">
        <v>41</v>
      </c>
      <c r="Q28" s="163" t="s">
        <v>41</v>
      </c>
      <c r="R28" s="60" t="s">
        <v>149</v>
      </c>
      <c r="S28" s="78" t="s">
        <v>149</v>
      </c>
      <c r="T28" s="128" t="s">
        <v>149</v>
      </c>
      <c r="U28" s="31" t="s">
        <v>149</v>
      </c>
      <c r="V28" s="23" t="s">
        <v>149</v>
      </c>
      <c r="W28" s="26" t="s">
        <v>149</v>
      </c>
    </row>
    <row r="29" spans="1:24" ht="13.2">
      <c r="B29" s="83" t="s">
        <v>16</v>
      </c>
      <c r="C29" s="84" t="s">
        <v>15</v>
      </c>
      <c r="D29" s="84" t="s">
        <v>174</v>
      </c>
      <c r="E29" s="84" t="s">
        <v>159</v>
      </c>
      <c r="F29" s="99" t="s">
        <v>400</v>
      </c>
      <c r="G29" s="99" t="s">
        <v>405</v>
      </c>
      <c r="H29" s="23" t="s">
        <v>407</v>
      </c>
      <c r="I29" s="137">
        <v>46057</v>
      </c>
      <c r="J29" s="85" t="s">
        <v>414</v>
      </c>
      <c r="K29" s="161" t="s">
        <v>149</v>
      </c>
      <c r="L29" s="60" t="s">
        <v>150</v>
      </c>
      <c r="M29" s="60" t="s">
        <v>149</v>
      </c>
      <c r="N29" s="84" t="s">
        <v>149</v>
      </c>
      <c r="O29" s="162" t="s">
        <v>41</v>
      </c>
      <c r="P29" s="163" t="s">
        <v>41</v>
      </c>
      <c r="Q29" s="163" t="s">
        <v>41</v>
      </c>
      <c r="R29" s="60" t="s">
        <v>149</v>
      </c>
      <c r="S29" s="78" t="s">
        <v>149</v>
      </c>
      <c r="T29" s="128" t="s">
        <v>149</v>
      </c>
      <c r="U29" s="31" t="s">
        <v>149</v>
      </c>
      <c r="V29" s="23" t="s">
        <v>149</v>
      </c>
      <c r="W29" s="26" t="s">
        <v>149</v>
      </c>
    </row>
    <row r="30" spans="1:24" ht="13.2">
      <c r="B30" s="83" t="s">
        <v>16</v>
      </c>
      <c r="C30" s="84" t="s">
        <v>15</v>
      </c>
      <c r="D30" s="84" t="s">
        <v>173</v>
      </c>
      <c r="E30" s="84" t="s">
        <v>159</v>
      </c>
      <c r="F30" s="99" t="s">
        <v>400</v>
      </c>
      <c r="G30" s="99" t="s">
        <v>405</v>
      </c>
      <c r="H30" s="23" t="s">
        <v>407</v>
      </c>
      <c r="I30" s="137">
        <v>46057</v>
      </c>
      <c r="J30" s="85" t="s">
        <v>414</v>
      </c>
      <c r="K30" s="161" t="s">
        <v>149</v>
      </c>
      <c r="L30" s="60" t="s">
        <v>150</v>
      </c>
      <c r="M30" s="60" t="s">
        <v>149</v>
      </c>
      <c r="N30" s="84" t="s">
        <v>149</v>
      </c>
      <c r="O30" s="162" t="s">
        <v>41</v>
      </c>
      <c r="P30" s="163" t="s">
        <v>41</v>
      </c>
      <c r="Q30" s="163" t="s">
        <v>41</v>
      </c>
      <c r="R30" s="60" t="s">
        <v>149</v>
      </c>
      <c r="S30" s="78" t="s">
        <v>149</v>
      </c>
      <c r="T30" s="128" t="s">
        <v>149</v>
      </c>
      <c r="U30" s="31" t="s">
        <v>149</v>
      </c>
      <c r="V30" s="23" t="s">
        <v>149</v>
      </c>
      <c r="W30" s="26" t="s">
        <v>149</v>
      </c>
    </row>
    <row r="31" spans="1:24" ht="13.2">
      <c r="B31" s="83" t="s">
        <v>16</v>
      </c>
      <c r="C31" s="84" t="s">
        <v>15</v>
      </c>
      <c r="D31" s="84" t="s">
        <v>179</v>
      </c>
      <c r="E31" s="84" t="s">
        <v>159</v>
      </c>
      <c r="F31" s="99" t="s">
        <v>400</v>
      </c>
      <c r="G31" s="99" t="s">
        <v>405</v>
      </c>
      <c r="H31" s="23" t="s">
        <v>407</v>
      </c>
      <c r="I31" s="137">
        <v>46057</v>
      </c>
      <c r="J31" s="85" t="s">
        <v>414</v>
      </c>
      <c r="K31" s="161" t="s">
        <v>149</v>
      </c>
      <c r="L31" s="60" t="s">
        <v>150</v>
      </c>
      <c r="M31" s="60" t="s">
        <v>149</v>
      </c>
      <c r="N31" s="84" t="s">
        <v>149</v>
      </c>
      <c r="O31" s="162" t="s">
        <v>41</v>
      </c>
      <c r="P31" s="163" t="s">
        <v>41</v>
      </c>
      <c r="Q31" s="163" t="s">
        <v>41</v>
      </c>
      <c r="R31" s="60" t="s">
        <v>149</v>
      </c>
      <c r="S31" s="78" t="s">
        <v>149</v>
      </c>
      <c r="T31" s="128" t="s">
        <v>149</v>
      </c>
      <c r="U31" s="31" t="s">
        <v>149</v>
      </c>
      <c r="V31" s="23" t="s">
        <v>149</v>
      </c>
      <c r="W31" s="26" t="s">
        <v>149</v>
      </c>
    </row>
    <row r="32" spans="1:24" ht="13.2">
      <c r="B32" s="83" t="s">
        <v>16</v>
      </c>
      <c r="C32" s="84" t="s">
        <v>15</v>
      </c>
      <c r="D32" s="84" t="s">
        <v>175</v>
      </c>
      <c r="E32" s="84" t="s">
        <v>159</v>
      </c>
      <c r="F32" s="99" t="s">
        <v>400</v>
      </c>
      <c r="G32" s="99" t="s">
        <v>405</v>
      </c>
      <c r="H32" s="23" t="s">
        <v>407</v>
      </c>
      <c r="I32" s="137">
        <v>46057</v>
      </c>
      <c r="J32" s="85" t="s">
        <v>414</v>
      </c>
      <c r="K32" s="161" t="s">
        <v>149</v>
      </c>
      <c r="L32" s="60" t="s">
        <v>150</v>
      </c>
      <c r="M32" s="60" t="s">
        <v>149</v>
      </c>
      <c r="N32" s="84" t="s">
        <v>149</v>
      </c>
      <c r="O32" s="162" t="s">
        <v>41</v>
      </c>
      <c r="P32" s="163" t="s">
        <v>41</v>
      </c>
      <c r="Q32" s="163" t="s">
        <v>41</v>
      </c>
      <c r="R32" s="60" t="s">
        <v>149</v>
      </c>
      <c r="S32" s="78" t="s">
        <v>149</v>
      </c>
      <c r="T32" s="128" t="s">
        <v>149</v>
      </c>
      <c r="U32" s="31" t="s">
        <v>149</v>
      </c>
      <c r="V32" s="23" t="s">
        <v>149</v>
      </c>
      <c r="W32" s="26" t="s">
        <v>149</v>
      </c>
    </row>
    <row r="33" spans="2:23" ht="13.2">
      <c r="B33" s="83" t="s">
        <v>16</v>
      </c>
      <c r="C33" s="84" t="s">
        <v>15</v>
      </c>
      <c r="D33" s="84" t="s">
        <v>176</v>
      </c>
      <c r="E33" s="84" t="s">
        <v>159</v>
      </c>
      <c r="F33" s="99" t="s">
        <v>400</v>
      </c>
      <c r="G33" s="99" t="s">
        <v>405</v>
      </c>
      <c r="H33" s="23" t="s">
        <v>407</v>
      </c>
      <c r="I33" s="137">
        <v>46057</v>
      </c>
      <c r="J33" s="85" t="s">
        <v>414</v>
      </c>
      <c r="K33" s="161" t="s">
        <v>149</v>
      </c>
      <c r="L33" s="60" t="s">
        <v>150</v>
      </c>
      <c r="M33" s="60" t="s">
        <v>149</v>
      </c>
      <c r="N33" s="84" t="s">
        <v>149</v>
      </c>
      <c r="O33" s="162" t="s">
        <v>41</v>
      </c>
      <c r="P33" s="163" t="s">
        <v>41</v>
      </c>
      <c r="Q33" s="163" t="s">
        <v>41</v>
      </c>
      <c r="R33" s="60" t="s">
        <v>149</v>
      </c>
      <c r="S33" s="78" t="s">
        <v>149</v>
      </c>
      <c r="T33" s="128" t="s">
        <v>149</v>
      </c>
      <c r="U33" s="31" t="s">
        <v>149</v>
      </c>
      <c r="V33" s="23" t="s">
        <v>149</v>
      </c>
      <c r="W33" s="26" t="s">
        <v>149</v>
      </c>
    </row>
    <row r="34" spans="2:23" ht="13.2">
      <c r="B34" s="83" t="s">
        <v>16</v>
      </c>
      <c r="C34" s="84" t="s">
        <v>15</v>
      </c>
      <c r="D34" s="84" t="s">
        <v>177</v>
      </c>
      <c r="E34" s="84" t="s">
        <v>159</v>
      </c>
      <c r="F34" s="99" t="s">
        <v>400</v>
      </c>
      <c r="G34" s="99" t="s">
        <v>405</v>
      </c>
      <c r="H34" s="23" t="s">
        <v>407</v>
      </c>
      <c r="I34" s="137">
        <v>46057</v>
      </c>
      <c r="J34" s="85" t="s">
        <v>414</v>
      </c>
      <c r="K34" s="161" t="s">
        <v>149</v>
      </c>
      <c r="L34" s="60" t="s">
        <v>150</v>
      </c>
      <c r="M34" s="60" t="s">
        <v>149</v>
      </c>
      <c r="N34" s="84" t="s">
        <v>149</v>
      </c>
      <c r="O34" s="162" t="s">
        <v>41</v>
      </c>
      <c r="P34" s="163" t="s">
        <v>41</v>
      </c>
      <c r="Q34" s="163" t="s">
        <v>41</v>
      </c>
      <c r="R34" s="60" t="s">
        <v>149</v>
      </c>
      <c r="S34" s="78" t="s">
        <v>149</v>
      </c>
      <c r="T34" s="128" t="s">
        <v>149</v>
      </c>
      <c r="U34" s="31" t="s">
        <v>149</v>
      </c>
      <c r="V34" s="23" t="s">
        <v>149</v>
      </c>
      <c r="W34" s="26" t="s">
        <v>149</v>
      </c>
    </row>
    <row r="35" spans="2:23" ht="13.2">
      <c r="B35" s="83" t="s">
        <v>16</v>
      </c>
      <c r="C35" s="84" t="s">
        <v>15</v>
      </c>
      <c r="D35" s="84" t="s">
        <v>178</v>
      </c>
      <c r="E35" s="84" t="s">
        <v>159</v>
      </c>
      <c r="F35" s="99" t="s">
        <v>400</v>
      </c>
      <c r="G35" s="99" t="s">
        <v>405</v>
      </c>
      <c r="H35" s="23" t="s">
        <v>407</v>
      </c>
      <c r="I35" s="137">
        <v>46057</v>
      </c>
      <c r="J35" s="85" t="s">
        <v>414</v>
      </c>
      <c r="K35" s="161" t="s">
        <v>149</v>
      </c>
      <c r="L35" s="60" t="s">
        <v>150</v>
      </c>
      <c r="M35" s="60" t="s">
        <v>149</v>
      </c>
      <c r="N35" s="84" t="s">
        <v>149</v>
      </c>
      <c r="O35" s="162" t="s">
        <v>41</v>
      </c>
      <c r="P35" s="163" t="s">
        <v>41</v>
      </c>
      <c r="Q35" s="163" t="s">
        <v>41</v>
      </c>
      <c r="R35" s="60" t="s">
        <v>149</v>
      </c>
      <c r="S35" s="78" t="s">
        <v>149</v>
      </c>
      <c r="T35" s="128" t="s">
        <v>149</v>
      </c>
      <c r="U35" s="31" t="s">
        <v>149</v>
      </c>
      <c r="V35" s="23" t="s">
        <v>149</v>
      </c>
      <c r="W35" s="26" t="s">
        <v>149</v>
      </c>
    </row>
    <row r="36" spans="2:23" ht="13.2">
      <c r="B36" s="83" t="s">
        <v>16</v>
      </c>
      <c r="C36" s="84" t="s">
        <v>15</v>
      </c>
      <c r="D36" s="84" t="s">
        <v>171</v>
      </c>
      <c r="E36" s="84" t="s">
        <v>159</v>
      </c>
      <c r="F36" s="99" t="s">
        <v>400</v>
      </c>
      <c r="G36" s="99" t="s">
        <v>405</v>
      </c>
      <c r="H36" s="23" t="s">
        <v>407</v>
      </c>
      <c r="I36" s="137">
        <v>46057</v>
      </c>
      <c r="J36" s="85" t="s">
        <v>414</v>
      </c>
      <c r="K36" s="161" t="s">
        <v>149</v>
      </c>
      <c r="L36" s="60" t="s">
        <v>150</v>
      </c>
      <c r="M36" s="60" t="s">
        <v>149</v>
      </c>
      <c r="N36" s="84" t="s">
        <v>149</v>
      </c>
      <c r="O36" s="162" t="s">
        <v>41</v>
      </c>
      <c r="P36" s="163" t="s">
        <v>41</v>
      </c>
      <c r="Q36" s="163" t="s">
        <v>41</v>
      </c>
      <c r="R36" s="60" t="s">
        <v>149</v>
      </c>
      <c r="S36" s="78" t="s">
        <v>149</v>
      </c>
      <c r="T36" s="128" t="s">
        <v>149</v>
      </c>
      <c r="U36" s="31" t="s">
        <v>149</v>
      </c>
      <c r="V36" s="23" t="s">
        <v>149</v>
      </c>
      <c r="W36" s="26" t="s">
        <v>149</v>
      </c>
    </row>
    <row r="37" spans="2:23" ht="13.2">
      <c r="B37" s="83" t="s">
        <v>16</v>
      </c>
      <c r="C37" s="84" t="s">
        <v>15</v>
      </c>
      <c r="D37" s="84" t="s">
        <v>165</v>
      </c>
      <c r="E37" s="84" t="s">
        <v>159</v>
      </c>
      <c r="F37" s="99" t="s">
        <v>400</v>
      </c>
      <c r="G37" s="99" t="s">
        <v>405</v>
      </c>
      <c r="H37" s="23" t="s">
        <v>407</v>
      </c>
      <c r="I37" s="137">
        <v>46057</v>
      </c>
      <c r="J37" s="85" t="s">
        <v>414</v>
      </c>
      <c r="K37" s="161" t="s">
        <v>149</v>
      </c>
      <c r="L37" s="60" t="s">
        <v>150</v>
      </c>
      <c r="M37" s="60" t="s">
        <v>149</v>
      </c>
      <c r="N37" s="84" t="s">
        <v>149</v>
      </c>
      <c r="O37" s="162" t="s">
        <v>41</v>
      </c>
      <c r="P37" s="163" t="s">
        <v>41</v>
      </c>
      <c r="Q37" s="163" t="s">
        <v>41</v>
      </c>
      <c r="R37" s="60" t="s">
        <v>149</v>
      </c>
      <c r="S37" s="78" t="s">
        <v>149</v>
      </c>
      <c r="T37" s="128" t="s">
        <v>149</v>
      </c>
      <c r="U37" s="31" t="s">
        <v>149</v>
      </c>
      <c r="V37" s="23" t="s">
        <v>149</v>
      </c>
      <c r="W37" s="26" t="s">
        <v>149</v>
      </c>
    </row>
    <row r="38" spans="2:23" ht="13.2">
      <c r="B38" s="83" t="s">
        <v>16</v>
      </c>
      <c r="C38" s="84" t="s">
        <v>15</v>
      </c>
      <c r="D38" s="84" t="s">
        <v>172</v>
      </c>
      <c r="E38" s="84" t="s">
        <v>159</v>
      </c>
      <c r="F38" s="99" t="s">
        <v>400</v>
      </c>
      <c r="G38" s="99" t="s">
        <v>405</v>
      </c>
      <c r="H38" s="23" t="s">
        <v>407</v>
      </c>
      <c r="I38" s="137">
        <v>46057</v>
      </c>
      <c r="J38" s="85" t="s">
        <v>414</v>
      </c>
      <c r="K38" s="161" t="s">
        <v>149</v>
      </c>
      <c r="L38" s="60" t="s">
        <v>150</v>
      </c>
      <c r="M38" s="60" t="s">
        <v>149</v>
      </c>
      <c r="N38" s="84" t="s">
        <v>149</v>
      </c>
      <c r="O38" s="162" t="s">
        <v>41</v>
      </c>
      <c r="P38" s="163" t="s">
        <v>41</v>
      </c>
      <c r="Q38" s="163" t="s">
        <v>41</v>
      </c>
      <c r="R38" s="60" t="s">
        <v>149</v>
      </c>
      <c r="S38" s="78" t="s">
        <v>149</v>
      </c>
      <c r="T38" s="128" t="s">
        <v>149</v>
      </c>
      <c r="U38" s="31" t="s">
        <v>149</v>
      </c>
      <c r="V38" s="23" t="s">
        <v>149</v>
      </c>
      <c r="W38" s="26" t="s">
        <v>149</v>
      </c>
    </row>
    <row r="39" spans="2:23" ht="13.2">
      <c r="B39" s="83" t="s">
        <v>16</v>
      </c>
      <c r="C39" s="84" t="s">
        <v>15</v>
      </c>
      <c r="D39" s="84" t="s">
        <v>272</v>
      </c>
      <c r="E39" s="84" t="s">
        <v>159</v>
      </c>
      <c r="F39" s="99" t="s">
        <v>400</v>
      </c>
      <c r="G39" s="99" t="s">
        <v>405</v>
      </c>
      <c r="H39" s="23" t="s">
        <v>407</v>
      </c>
      <c r="I39" s="137">
        <v>46057</v>
      </c>
      <c r="J39" s="85" t="s">
        <v>414</v>
      </c>
      <c r="K39" s="161" t="s">
        <v>149</v>
      </c>
      <c r="L39" s="60" t="s">
        <v>150</v>
      </c>
      <c r="M39" s="60" t="s">
        <v>149</v>
      </c>
      <c r="N39" s="84" t="s">
        <v>149</v>
      </c>
      <c r="O39" s="162" t="s">
        <v>41</v>
      </c>
      <c r="P39" s="163" t="s">
        <v>41</v>
      </c>
      <c r="Q39" s="163" t="s">
        <v>41</v>
      </c>
      <c r="R39" s="60" t="s">
        <v>149</v>
      </c>
      <c r="S39" s="78" t="s">
        <v>149</v>
      </c>
      <c r="T39" s="128" t="s">
        <v>149</v>
      </c>
      <c r="U39" s="31" t="s">
        <v>149</v>
      </c>
      <c r="V39" s="23" t="s">
        <v>149</v>
      </c>
      <c r="W39" s="26" t="s">
        <v>149</v>
      </c>
    </row>
    <row r="40" spans="2:23" ht="13.2">
      <c r="B40" s="83" t="s">
        <v>16</v>
      </c>
      <c r="C40" s="84" t="s">
        <v>15</v>
      </c>
      <c r="D40" s="84" t="s">
        <v>273</v>
      </c>
      <c r="E40" s="84" t="s">
        <v>159</v>
      </c>
      <c r="F40" s="99" t="s">
        <v>400</v>
      </c>
      <c r="G40" s="99" t="s">
        <v>405</v>
      </c>
      <c r="H40" s="23" t="s">
        <v>407</v>
      </c>
      <c r="I40" s="137">
        <v>46057</v>
      </c>
      <c r="J40" s="85" t="s">
        <v>414</v>
      </c>
      <c r="K40" s="161" t="s">
        <v>149</v>
      </c>
      <c r="L40" s="60" t="s">
        <v>150</v>
      </c>
      <c r="M40" s="60" t="s">
        <v>149</v>
      </c>
      <c r="N40" s="84" t="s">
        <v>149</v>
      </c>
      <c r="O40" s="162" t="s">
        <v>41</v>
      </c>
      <c r="P40" s="163" t="s">
        <v>41</v>
      </c>
      <c r="Q40" s="163" t="s">
        <v>41</v>
      </c>
      <c r="R40" s="60" t="s">
        <v>149</v>
      </c>
      <c r="S40" s="78" t="s">
        <v>149</v>
      </c>
      <c r="T40" s="128" t="s">
        <v>149</v>
      </c>
      <c r="U40" s="31" t="s">
        <v>149</v>
      </c>
      <c r="V40" s="23" t="s">
        <v>149</v>
      </c>
      <c r="W40" s="26" t="s">
        <v>149</v>
      </c>
    </row>
    <row r="41" spans="2:23" ht="13.2">
      <c r="B41" s="83" t="s">
        <v>16</v>
      </c>
      <c r="C41" s="84" t="s">
        <v>15</v>
      </c>
      <c r="D41" s="84" t="s">
        <v>274</v>
      </c>
      <c r="E41" s="84" t="s">
        <v>159</v>
      </c>
      <c r="F41" s="99" t="s">
        <v>400</v>
      </c>
      <c r="G41" s="99" t="s">
        <v>405</v>
      </c>
      <c r="H41" s="23" t="s">
        <v>407</v>
      </c>
      <c r="I41" s="137">
        <v>46057</v>
      </c>
      <c r="J41" s="85" t="s">
        <v>414</v>
      </c>
      <c r="K41" s="161" t="s">
        <v>149</v>
      </c>
      <c r="L41" s="60" t="s">
        <v>150</v>
      </c>
      <c r="M41" s="60" t="s">
        <v>149</v>
      </c>
      <c r="N41" s="84" t="s">
        <v>149</v>
      </c>
      <c r="O41" s="162" t="s">
        <v>41</v>
      </c>
      <c r="P41" s="163" t="s">
        <v>41</v>
      </c>
      <c r="Q41" s="163" t="s">
        <v>41</v>
      </c>
      <c r="R41" s="60" t="s">
        <v>149</v>
      </c>
      <c r="S41" s="78" t="s">
        <v>149</v>
      </c>
      <c r="T41" s="128" t="s">
        <v>149</v>
      </c>
      <c r="U41" s="31" t="s">
        <v>149</v>
      </c>
      <c r="V41" s="23" t="s">
        <v>149</v>
      </c>
      <c r="W41" s="26" t="s">
        <v>149</v>
      </c>
    </row>
    <row r="42" spans="2:23" ht="13.2">
      <c r="B42" s="83" t="s">
        <v>16</v>
      </c>
      <c r="C42" s="84" t="s">
        <v>15</v>
      </c>
      <c r="D42" s="84" t="s">
        <v>275</v>
      </c>
      <c r="E42" s="84" t="s">
        <v>159</v>
      </c>
      <c r="F42" s="99" t="s">
        <v>400</v>
      </c>
      <c r="G42" s="99" t="s">
        <v>405</v>
      </c>
      <c r="H42" s="23" t="s">
        <v>407</v>
      </c>
      <c r="I42" s="137">
        <v>46057</v>
      </c>
      <c r="J42" s="85" t="s">
        <v>414</v>
      </c>
      <c r="K42" s="161" t="s">
        <v>149</v>
      </c>
      <c r="L42" s="60" t="s">
        <v>150</v>
      </c>
      <c r="M42" s="60" t="s">
        <v>149</v>
      </c>
      <c r="N42" s="84" t="s">
        <v>149</v>
      </c>
      <c r="O42" s="162" t="s">
        <v>41</v>
      </c>
      <c r="P42" s="163" t="s">
        <v>41</v>
      </c>
      <c r="Q42" s="163" t="s">
        <v>41</v>
      </c>
      <c r="R42" s="60" t="s">
        <v>149</v>
      </c>
      <c r="S42" s="78" t="s">
        <v>149</v>
      </c>
      <c r="T42" s="128" t="s">
        <v>149</v>
      </c>
      <c r="U42" s="31" t="s">
        <v>149</v>
      </c>
      <c r="V42" s="23" t="s">
        <v>149</v>
      </c>
      <c r="W42" s="26" t="s">
        <v>149</v>
      </c>
    </row>
    <row r="43" spans="2:23" ht="13.2">
      <c r="B43" s="83" t="s">
        <v>16</v>
      </c>
      <c r="C43" s="84" t="s">
        <v>15</v>
      </c>
      <c r="D43" s="84" t="s">
        <v>276</v>
      </c>
      <c r="E43" s="84" t="s">
        <v>159</v>
      </c>
      <c r="F43" s="99" t="s">
        <v>400</v>
      </c>
      <c r="G43" s="99" t="s">
        <v>405</v>
      </c>
      <c r="H43" s="23" t="s">
        <v>407</v>
      </c>
      <c r="I43" s="137">
        <v>46057</v>
      </c>
      <c r="J43" s="85" t="s">
        <v>414</v>
      </c>
      <c r="K43" s="161" t="s">
        <v>149</v>
      </c>
      <c r="L43" s="60" t="s">
        <v>150</v>
      </c>
      <c r="M43" s="60" t="s">
        <v>149</v>
      </c>
      <c r="N43" s="84" t="s">
        <v>149</v>
      </c>
      <c r="O43" s="162" t="s">
        <v>41</v>
      </c>
      <c r="P43" s="163" t="s">
        <v>41</v>
      </c>
      <c r="Q43" s="163" t="s">
        <v>41</v>
      </c>
      <c r="R43" s="60" t="s">
        <v>149</v>
      </c>
      <c r="S43" s="78" t="s">
        <v>149</v>
      </c>
      <c r="T43" s="128" t="s">
        <v>149</v>
      </c>
      <c r="U43" s="31" t="s">
        <v>149</v>
      </c>
      <c r="V43" s="23" t="s">
        <v>149</v>
      </c>
      <c r="W43" s="26" t="s">
        <v>149</v>
      </c>
    </row>
    <row r="44" spans="2:23" ht="13.2">
      <c r="B44" s="83" t="s">
        <v>16</v>
      </c>
      <c r="C44" s="84" t="s">
        <v>15</v>
      </c>
      <c r="D44" s="84" t="s">
        <v>277</v>
      </c>
      <c r="E44" s="84" t="s">
        <v>159</v>
      </c>
      <c r="F44" s="99" t="s">
        <v>400</v>
      </c>
      <c r="G44" s="99" t="s">
        <v>405</v>
      </c>
      <c r="H44" s="23" t="s">
        <v>407</v>
      </c>
      <c r="I44" s="137">
        <v>46057</v>
      </c>
      <c r="J44" s="85" t="s">
        <v>414</v>
      </c>
      <c r="K44" s="161" t="s">
        <v>149</v>
      </c>
      <c r="L44" s="60" t="s">
        <v>150</v>
      </c>
      <c r="M44" s="60" t="s">
        <v>149</v>
      </c>
      <c r="N44" s="84" t="s">
        <v>149</v>
      </c>
      <c r="O44" s="162" t="s">
        <v>41</v>
      </c>
      <c r="P44" s="163" t="s">
        <v>41</v>
      </c>
      <c r="Q44" s="163" t="s">
        <v>41</v>
      </c>
      <c r="R44" s="60" t="s">
        <v>149</v>
      </c>
      <c r="S44" s="78" t="s">
        <v>149</v>
      </c>
      <c r="T44" s="128" t="s">
        <v>149</v>
      </c>
      <c r="U44" s="31" t="s">
        <v>149</v>
      </c>
      <c r="V44" s="23" t="s">
        <v>149</v>
      </c>
      <c r="W44" s="26" t="s">
        <v>149</v>
      </c>
    </row>
    <row r="45" spans="2:23" ht="13.2">
      <c r="B45" s="83" t="s">
        <v>16</v>
      </c>
      <c r="C45" s="84" t="s">
        <v>15</v>
      </c>
      <c r="D45" s="84" t="s">
        <v>278</v>
      </c>
      <c r="E45" s="84" t="s">
        <v>159</v>
      </c>
      <c r="F45" s="99" t="s">
        <v>400</v>
      </c>
      <c r="G45" s="99" t="s">
        <v>405</v>
      </c>
      <c r="H45" s="23" t="s">
        <v>407</v>
      </c>
      <c r="I45" s="137">
        <v>46057</v>
      </c>
      <c r="J45" s="85" t="s">
        <v>414</v>
      </c>
      <c r="K45" s="161" t="s">
        <v>149</v>
      </c>
      <c r="L45" s="60" t="s">
        <v>150</v>
      </c>
      <c r="M45" s="60" t="s">
        <v>149</v>
      </c>
      <c r="N45" s="84" t="s">
        <v>149</v>
      </c>
      <c r="O45" s="162" t="s">
        <v>41</v>
      </c>
      <c r="P45" s="163" t="s">
        <v>41</v>
      </c>
      <c r="Q45" s="163" t="s">
        <v>41</v>
      </c>
      <c r="R45" s="60" t="s">
        <v>149</v>
      </c>
      <c r="S45" s="78" t="s">
        <v>149</v>
      </c>
      <c r="T45" s="128" t="s">
        <v>149</v>
      </c>
      <c r="U45" s="31" t="s">
        <v>149</v>
      </c>
      <c r="V45" s="23" t="s">
        <v>149</v>
      </c>
      <c r="W45" s="26" t="s">
        <v>149</v>
      </c>
    </row>
    <row r="46" spans="2:23" ht="13.2">
      <c r="B46" s="83" t="s">
        <v>16</v>
      </c>
      <c r="C46" s="84" t="s">
        <v>15</v>
      </c>
      <c r="D46" s="84" t="s">
        <v>279</v>
      </c>
      <c r="E46" s="84" t="s">
        <v>159</v>
      </c>
      <c r="F46" s="99" t="s">
        <v>400</v>
      </c>
      <c r="G46" s="99" t="s">
        <v>405</v>
      </c>
      <c r="H46" s="23" t="s">
        <v>407</v>
      </c>
      <c r="I46" s="137">
        <v>46057</v>
      </c>
      <c r="J46" s="85" t="s">
        <v>414</v>
      </c>
      <c r="K46" s="161" t="s">
        <v>149</v>
      </c>
      <c r="L46" s="60" t="s">
        <v>150</v>
      </c>
      <c r="M46" s="60" t="s">
        <v>149</v>
      </c>
      <c r="N46" s="84" t="s">
        <v>149</v>
      </c>
      <c r="O46" s="162" t="s">
        <v>41</v>
      </c>
      <c r="P46" s="163" t="s">
        <v>41</v>
      </c>
      <c r="Q46" s="163" t="s">
        <v>41</v>
      </c>
      <c r="R46" s="60" t="s">
        <v>149</v>
      </c>
      <c r="S46" s="78" t="s">
        <v>149</v>
      </c>
      <c r="T46" s="128" t="s">
        <v>149</v>
      </c>
      <c r="U46" s="31" t="s">
        <v>149</v>
      </c>
      <c r="V46" s="23" t="s">
        <v>149</v>
      </c>
      <c r="W46" s="26" t="s">
        <v>149</v>
      </c>
    </row>
    <row r="47" spans="2:23" ht="13.2">
      <c r="B47" s="83" t="s">
        <v>16</v>
      </c>
      <c r="C47" s="84" t="s">
        <v>15</v>
      </c>
      <c r="D47" s="84" t="s">
        <v>280</v>
      </c>
      <c r="E47" s="84" t="s">
        <v>159</v>
      </c>
      <c r="F47" s="99" t="s">
        <v>400</v>
      </c>
      <c r="G47" s="99" t="s">
        <v>405</v>
      </c>
      <c r="H47" s="23" t="s">
        <v>407</v>
      </c>
      <c r="I47" s="137">
        <v>46057</v>
      </c>
      <c r="J47" s="85" t="s">
        <v>414</v>
      </c>
      <c r="K47" s="161" t="s">
        <v>149</v>
      </c>
      <c r="L47" s="60" t="s">
        <v>150</v>
      </c>
      <c r="M47" s="60" t="s">
        <v>149</v>
      </c>
      <c r="N47" s="84" t="s">
        <v>149</v>
      </c>
      <c r="O47" s="162" t="s">
        <v>41</v>
      </c>
      <c r="P47" s="163" t="s">
        <v>41</v>
      </c>
      <c r="Q47" s="163" t="s">
        <v>41</v>
      </c>
      <c r="R47" s="60" t="s">
        <v>149</v>
      </c>
      <c r="S47" s="78" t="s">
        <v>149</v>
      </c>
      <c r="T47" s="128" t="s">
        <v>149</v>
      </c>
      <c r="U47" s="31" t="s">
        <v>149</v>
      </c>
      <c r="V47" s="23" t="s">
        <v>149</v>
      </c>
      <c r="W47" s="26" t="s">
        <v>149</v>
      </c>
    </row>
    <row r="48" spans="2:23" ht="13.2">
      <c r="B48" s="83" t="s">
        <v>16</v>
      </c>
      <c r="C48" s="84" t="s">
        <v>15</v>
      </c>
      <c r="D48" s="84" t="s">
        <v>281</v>
      </c>
      <c r="E48" s="84" t="s">
        <v>159</v>
      </c>
      <c r="F48" s="99" t="s">
        <v>400</v>
      </c>
      <c r="G48" s="99" t="s">
        <v>405</v>
      </c>
      <c r="H48" s="84" t="s">
        <v>282</v>
      </c>
      <c r="I48" s="137">
        <v>46057</v>
      </c>
      <c r="J48" s="85" t="s">
        <v>414</v>
      </c>
      <c r="K48" s="161" t="s">
        <v>149</v>
      </c>
      <c r="L48" s="60" t="s">
        <v>150</v>
      </c>
      <c r="M48" s="60" t="s">
        <v>149</v>
      </c>
      <c r="N48" s="84" t="s">
        <v>150</v>
      </c>
      <c r="O48" s="162" t="s">
        <v>41</v>
      </c>
      <c r="P48" s="163" t="s">
        <v>41</v>
      </c>
      <c r="Q48" s="163" t="s">
        <v>41</v>
      </c>
      <c r="R48" s="60" t="s">
        <v>149</v>
      </c>
      <c r="S48" s="78" t="s">
        <v>149</v>
      </c>
      <c r="T48" s="128" t="s">
        <v>149</v>
      </c>
      <c r="U48" s="31" t="s">
        <v>149</v>
      </c>
      <c r="V48" s="23" t="s">
        <v>149</v>
      </c>
      <c r="W48" s="26" t="s">
        <v>149</v>
      </c>
    </row>
    <row r="49" spans="2:23" ht="13.2">
      <c r="B49" s="83" t="s">
        <v>16</v>
      </c>
      <c r="C49" s="84" t="s">
        <v>15</v>
      </c>
      <c r="D49" s="84" t="s">
        <v>283</v>
      </c>
      <c r="E49" s="84" t="s">
        <v>159</v>
      </c>
      <c r="F49" s="99" t="s">
        <v>400</v>
      </c>
      <c r="G49" s="99" t="s">
        <v>405</v>
      </c>
      <c r="H49" s="84" t="s">
        <v>282</v>
      </c>
      <c r="I49" s="137">
        <v>46057</v>
      </c>
      <c r="J49" s="85" t="s">
        <v>414</v>
      </c>
      <c r="K49" s="161" t="s">
        <v>149</v>
      </c>
      <c r="L49" s="60" t="s">
        <v>150</v>
      </c>
      <c r="M49" s="60" t="s">
        <v>149</v>
      </c>
      <c r="N49" s="84" t="s">
        <v>150</v>
      </c>
      <c r="O49" s="162" t="s">
        <v>41</v>
      </c>
      <c r="P49" s="163" t="s">
        <v>41</v>
      </c>
      <c r="Q49" s="163" t="s">
        <v>41</v>
      </c>
      <c r="R49" s="60" t="s">
        <v>149</v>
      </c>
      <c r="S49" s="78" t="s">
        <v>149</v>
      </c>
      <c r="T49" s="128" t="s">
        <v>149</v>
      </c>
      <c r="U49" s="31" t="s">
        <v>149</v>
      </c>
      <c r="V49" s="23" t="s">
        <v>149</v>
      </c>
      <c r="W49" s="26" t="s">
        <v>149</v>
      </c>
    </row>
    <row r="50" spans="2:23" ht="13.2">
      <c r="B50" s="83" t="s">
        <v>16</v>
      </c>
      <c r="C50" s="84" t="s">
        <v>15</v>
      </c>
      <c r="D50" s="84" t="s">
        <v>241</v>
      </c>
      <c r="E50" s="84" t="s">
        <v>159</v>
      </c>
      <c r="F50" s="99" t="s">
        <v>400</v>
      </c>
      <c r="G50" s="99" t="s">
        <v>405</v>
      </c>
      <c r="H50" s="23" t="s">
        <v>407</v>
      </c>
      <c r="I50" s="137">
        <v>46063</v>
      </c>
      <c r="J50" s="85" t="s">
        <v>414</v>
      </c>
      <c r="K50" s="161" t="s">
        <v>149</v>
      </c>
      <c r="L50" s="60" t="s">
        <v>150</v>
      </c>
      <c r="M50" s="60" t="s">
        <v>149</v>
      </c>
      <c r="N50" s="84" t="s">
        <v>149</v>
      </c>
      <c r="O50" s="162" t="s">
        <v>41</v>
      </c>
      <c r="P50" s="163" t="s">
        <v>41</v>
      </c>
      <c r="Q50" s="163" t="s">
        <v>41</v>
      </c>
      <c r="R50" s="60" t="s">
        <v>149</v>
      </c>
      <c r="S50" s="78" t="s">
        <v>149</v>
      </c>
      <c r="T50" s="128" t="s">
        <v>149</v>
      </c>
      <c r="U50" s="31" t="s">
        <v>149</v>
      </c>
      <c r="V50" s="23" t="s">
        <v>149</v>
      </c>
      <c r="W50" s="26" t="s">
        <v>149</v>
      </c>
    </row>
    <row r="51" spans="2:23" ht="13.2">
      <c r="B51" s="83" t="s">
        <v>16</v>
      </c>
      <c r="C51" s="84" t="s">
        <v>15</v>
      </c>
      <c r="D51" s="84" t="s">
        <v>242</v>
      </c>
      <c r="E51" s="84" t="s">
        <v>159</v>
      </c>
      <c r="F51" s="99" t="s">
        <v>400</v>
      </c>
      <c r="G51" s="99" t="s">
        <v>405</v>
      </c>
      <c r="H51" s="23" t="s">
        <v>407</v>
      </c>
      <c r="I51" s="137">
        <v>46063</v>
      </c>
      <c r="J51" s="85" t="s">
        <v>414</v>
      </c>
      <c r="K51" s="161" t="s">
        <v>149</v>
      </c>
      <c r="L51" s="60" t="s">
        <v>150</v>
      </c>
      <c r="M51" s="60" t="s">
        <v>149</v>
      </c>
      <c r="N51" s="84" t="s">
        <v>149</v>
      </c>
      <c r="O51" s="162" t="s">
        <v>41</v>
      </c>
      <c r="P51" s="163" t="s">
        <v>41</v>
      </c>
      <c r="Q51" s="163" t="s">
        <v>41</v>
      </c>
      <c r="R51" s="60" t="s">
        <v>149</v>
      </c>
      <c r="S51" s="78" t="s">
        <v>149</v>
      </c>
      <c r="T51" s="128" t="s">
        <v>149</v>
      </c>
      <c r="U51" s="31" t="s">
        <v>149</v>
      </c>
      <c r="V51" s="23" t="s">
        <v>149</v>
      </c>
      <c r="W51" s="26" t="s">
        <v>149</v>
      </c>
    </row>
    <row r="52" spans="2:23" ht="13.2">
      <c r="B52" s="83" t="s">
        <v>16</v>
      </c>
      <c r="C52" s="84" t="s">
        <v>15</v>
      </c>
      <c r="D52" s="84" t="s">
        <v>243</v>
      </c>
      <c r="E52" s="84" t="s">
        <v>159</v>
      </c>
      <c r="F52" s="99" t="s">
        <v>400</v>
      </c>
      <c r="G52" s="99" t="s">
        <v>405</v>
      </c>
      <c r="H52" s="23" t="s">
        <v>407</v>
      </c>
      <c r="I52" s="137">
        <v>46063</v>
      </c>
      <c r="J52" s="85" t="s">
        <v>414</v>
      </c>
      <c r="K52" s="161" t="s">
        <v>149</v>
      </c>
      <c r="L52" s="60" t="s">
        <v>150</v>
      </c>
      <c r="M52" s="60" t="s">
        <v>149</v>
      </c>
      <c r="N52" s="84" t="s">
        <v>149</v>
      </c>
      <c r="O52" s="162" t="s">
        <v>41</v>
      </c>
      <c r="P52" s="163" t="s">
        <v>41</v>
      </c>
      <c r="Q52" s="163" t="s">
        <v>41</v>
      </c>
      <c r="R52" s="60" t="s">
        <v>149</v>
      </c>
      <c r="S52" s="78" t="s">
        <v>149</v>
      </c>
      <c r="T52" s="128" t="s">
        <v>149</v>
      </c>
      <c r="U52" s="31" t="s">
        <v>149</v>
      </c>
      <c r="V52" s="23" t="s">
        <v>149</v>
      </c>
      <c r="W52" s="26" t="s">
        <v>149</v>
      </c>
    </row>
    <row r="53" spans="2:23" ht="13.2">
      <c r="B53" s="83" t="s">
        <v>16</v>
      </c>
      <c r="C53" s="84" t="s">
        <v>15</v>
      </c>
      <c r="D53" s="84" t="s">
        <v>174</v>
      </c>
      <c r="E53" s="84" t="s">
        <v>284</v>
      </c>
      <c r="F53" s="99" t="s">
        <v>400</v>
      </c>
      <c r="G53" s="99" t="s">
        <v>405</v>
      </c>
      <c r="H53" s="84" t="s">
        <v>297</v>
      </c>
      <c r="I53" s="137">
        <v>46056</v>
      </c>
      <c r="J53" s="85" t="s">
        <v>413</v>
      </c>
      <c r="K53" s="161" t="s">
        <v>149</v>
      </c>
      <c r="L53" s="84" t="s">
        <v>150</v>
      </c>
      <c r="M53" s="23" t="s">
        <v>150</v>
      </c>
      <c r="N53" s="84" t="s">
        <v>149</v>
      </c>
      <c r="O53" s="162" t="s">
        <v>41</v>
      </c>
      <c r="P53" s="163" t="s">
        <v>41</v>
      </c>
      <c r="Q53" s="163" t="s">
        <v>41</v>
      </c>
      <c r="R53" s="60" t="s">
        <v>149</v>
      </c>
      <c r="S53" s="78" t="s">
        <v>149</v>
      </c>
      <c r="T53" s="128" t="s">
        <v>149</v>
      </c>
      <c r="U53" s="31" t="s">
        <v>149</v>
      </c>
      <c r="V53" s="23" t="s">
        <v>149</v>
      </c>
      <c r="W53" s="26" t="s">
        <v>149</v>
      </c>
    </row>
    <row r="54" spans="2:23" ht="13.2">
      <c r="B54" s="83" t="s">
        <v>16</v>
      </c>
      <c r="C54" s="84" t="s">
        <v>15</v>
      </c>
      <c r="D54" s="84" t="s">
        <v>179</v>
      </c>
      <c r="E54" s="84" t="s">
        <v>284</v>
      </c>
      <c r="F54" s="99" t="s">
        <v>400</v>
      </c>
      <c r="G54" s="99" t="s">
        <v>405</v>
      </c>
      <c r="H54" s="84" t="s">
        <v>297</v>
      </c>
      <c r="I54" s="137">
        <v>46056</v>
      </c>
      <c r="J54" s="85" t="s">
        <v>413</v>
      </c>
      <c r="K54" s="161" t="s">
        <v>149</v>
      </c>
      <c r="L54" s="84" t="s">
        <v>150</v>
      </c>
      <c r="M54" s="23" t="s">
        <v>150</v>
      </c>
      <c r="N54" s="84" t="s">
        <v>149</v>
      </c>
      <c r="O54" s="162" t="s">
        <v>41</v>
      </c>
      <c r="P54" s="163" t="s">
        <v>41</v>
      </c>
      <c r="Q54" s="163" t="s">
        <v>41</v>
      </c>
      <c r="R54" s="60" t="s">
        <v>149</v>
      </c>
      <c r="S54" s="78" t="s">
        <v>149</v>
      </c>
      <c r="T54" s="128" t="s">
        <v>149</v>
      </c>
      <c r="U54" s="31" t="s">
        <v>149</v>
      </c>
      <c r="V54" s="23" t="s">
        <v>149</v>
      </c>
      <c r="W54" s="26" t="s">
        <v>149</v>
      </c>
    </row>
    <row r="55" spans="2:23" ht="13.2">
      <c r="B55" s="83" t="s">
        <v>16</v>
      </c>
      <c r="C55" s="84" t="s">
        <v>15</v>
      </c>
      <c r="D55" s="84" t="s">
        <v>283</v>
      </c>
      <c r="E55" s="84" t="s">
        <v>284</v>
      </c>
      <c r="F55" s="99" t="s">
        <v>400</v>
      </c>
      <c r="G55" s="99" t="s">
        <v>405</v>
      </c>
      <c r="H55" s="84" t="s">
        <v>297</v>
      </c>
      <c r="I55" s="137">
        <v>46056</v>
      </c>
      <c r="J55" s="85" t="s">
        <v>413</v>
      </c>
      <c r="K55" s="161" t="s">
        <v>149</v>
      </c>
      <c r="L55" s="84" t="s">
        <v>150</v>
      </c>
      <c r="M55" s="23" t="s">
        <v>150</v>
      </c>
      <c r="N55" s="84" t="s">
        <v>149</v>
      </c>
      <c r="O55" s="162" t="s">
        <v>41</v>
      </c>
      <c r="P55" s="163" t="s">
        <v>41</v>
      </c>
      <c r="Q55" s="163" t="s">
        <v>41</v>
      </c>
      <c r="R55" s="60" t="s">
        <v>149</v>
      </c>
      <c r="S55" s="78" t="s">
        <v>149</v>
      </c>
      <c r="T55" s="128" t="s">
        <v>149</v>
      </c>
      <c r="U55" s="31" t="s">
        <v>149</v>
      </c>
      <c r="V55" s="23" t="s">
        <v>149</v>
      </c>
      <c r="W55" s="26" t="s">
        <v>149</v>
      </c>
    </row>
    <row r="56" spans="2:23" ht="13.2">
      <c r="B56" s="83" t="s">
        <v>16</v>
      </c>
      <c r="C56" s="84" t="s">
        <v>15</v>
      </c>
      <c r="D56" s="84" t="s">
        <v>176</v>
      </c>
      <c r="E56" s="84" t="s">
        <v>270</v>
      </c>
      <c r="F56" s="99" t="s">
        <v>400</v>
      </c>
      <c r="G56" s="99" t="s">
        <v>405</v>
      </c>
      <c r="H56" s="84" t="s">
        <v>297</v>
      </c>
      <c r="I56" s="137">
        <v>46057</v>
      </c>
      <c r="J56" s="85" t="s">
        <v>413</v>
      </c>
      <c r="K56" s="161" t="s">
        <v>149</v>
      </c>
      <c r="L56" s="84" t="s">
        <v>150</v>
      </c>
      <c r="M56" s="23" t="s">
        <v>150</v>
      </c>
      <c r="N56" s="84" t="s">
        <v>149</v>
      </c>
      <c r="O56" s="162" t="s">
        <v>41</v>
      </c>
      <c r="P56" s="163" t="s">
        <v>41</v>
      </c>
      <c r="Q56" s="163" t="s">
        <v>41</v>
      </c>
      <c r="R56" s="60" t="s">
        <v>149</v>
      </c>
      <c r="S56" s="78" t="s">
        <v>149</v>
      </c>
      <c r="T56" s="128" t="s">
        <v>149</v>
      </c>
      <c r="U56" s="31" t="s">
        <v>149</v>
      </c>
      <c r="V56" s="23" t="s">
        <v>149</v>
      </c>
      <c r="W56" s="26" t="s">
        <v>149</v>
      </c>
    </row>
    <row r="57" spans="2:23" ht="13.2">
      <c r="B57" s="83" t="s">
        <v>16</v>
      </c>
      <c r="C57" s="84" t="s">
        <v>15</v>
      </c>
      <c r="D57" s="84" t="s">
        <v>165</v>
      </c>
      <c r="E57" s="84" t="s">
        <v>270</v>
      </c>
      <c r="F57" s="99" t="s">
        <v>400</v>
      </c>
      <c r="G57" s="99" t="s">
        <v>405</v>
      </c>
      <c r="H57" s="84" t="s">
        <v>233</v>
      </c>
      <c r="I57" s="137">
        <v>46057</v>
      </c>
      <c r="J57" s="85" t="s">
        <v>413</v>
      </c>
      <c r="K57" s="161" t="s">
        <v>149</v>
      </c>
      <c r="L57" s="84" t="s">
        <v>150</v>
      </c>
      <c r="M57" s="23" t="s">
        <v>150</v>
      </c>
      <c r="N57" s="84" t="s">
        <v>150</v>
      </c>
      <c r="O57" s="162" t="s">
        <v>41</v>
      </c>
      <c r="P57" s="163" t="s">
        <v>41</v>
      </c>
      <c r="Q57" s="163" t="s">
        <v>41</v>
      </c>
      <c r="R57" s="60" t="s">
        <v>149</v>
      </c>
      <c r="S57" s="78" t="s">
        <v>149</v>
      </c>
      <c r="T57" s="128" t="s">
        <v>149</v>
      </c>
      <c r="U57" s="31" t="s">
        <v>149</v>
      </c>
      <c r="V57" s="23" t="s">
        <v>149</v>
      </c>
      <c r="W57" s="26" t="s">
        <v>149</v>
      </c>
    </row>
    <row r="58" spans="2:23" ht="13.2">
      <c r="B58" s="83" t="s">
        <v>16</v>
      </c>
      <c r="C58" s="84" t="s">
        <v>15</v>
      </c>
      <c r="D58" s="84" t="s">
        <v>172</v>
      </c>
      <c r="E58" s="84" t="s">
        <v>270</v>
      </c>
      <c r="F58" s="99" t="s">
        <v>400</v>
      </c>
      <c r="G58" s="99" t="s">
        <v>405</v>
      </c>
      <c r="H58" s="84" t="s">
        <v>297</v>
      </c>
      <c r="I58" s="137">
        <v>46057</v>
      </c>
      <c r="J58" s="85" t="s">
        <v>413</v>
      </c>
      <c r="K58" s="161" t="s">
        <v>149</v>
      </c>
      <c r="L58" s="84" t="s">
        <v>150</v>
      </c>
      <c r="M58" s="23" t="s">
        <v>150</v>
      </c>
      <c r="N58" s="84" t="s">
        <v>149</v>
      </c>
      <c r="O58" s="162" t="s">
        <v>41</v>
      </c>
      <c r="P58" s="163" t="s">
        <v>41</v>
      </c>
      <c r="Q58" s="163" t="s">
        <v>41</v>
      </c>
      <c r="R58" s="60" t="s">
        <v>149</v>
      </c>
      <c r="S58" s="78" t="s">
        <v>149</v>
      </c>
      <c r="T58" s="128" t="s">
        <v>149</v>
      </c>
      <c r="U58" s="31" t="s">
        <v>149</v>
      </c>
      <c r="V58" s="23" t="s">
        <v>149</v>
      </c>
      <c r="W58" s="26" t="s">
        <v>149</v>
      </c>
    </row>
    <row r="59" spans="2:23" ht="13.2">
      <c r="B59" s="83" t="s">
        <v>16</v>
      </c>
      <c r="C59" s="84" t="s">
        <v>15</v>
      </c>
      <c r="D59" s="84" t="s">
        <v>174</v>
      </c>
      <c r="E59" s="84" t="s">
        <v>269</v>
      </c>
      <c r="F59" s="99" t="s">
        <v>400</v>
      </c>
      <c r="G59" s="99" t="s">
        <v>405</v>
      </c>
      <c r="H59" s="84" t="s">
        <v>285</v>
      </c>
      <c r="I59" s="137">
        <v>46058</v>
      </c>
      <c r="J59" s="85" t="s">
        <v>413</v>
      </c>
      <c r="K59" s="161" t="s">
        <v>149</v>
      </c>
      <c r="L59" s="84" t="s">
        <v>150</v>
      </c>
      <c r="M59" s="23" t="s">
        <v>150</v>
      </c>
      <c r="N59" s="84" t="s">
        <v>426</v>
      </c>
      <c r="O59" s="162" t="s">
        <v>41</v>
      </c>
      <c r="P59" s="163" t="s">
        <v>41</v>
      </c>
      <c r="Q59" s="163" t="s">
        <v>41</v>
      </c>
      <c r="R59" s="60" t="s">
        <v>149</v>
      </c>
      <c r="S59" s="78" t="s">
        <v>149</v>
      </c>
      <c r="T59" s="128" t="s">
        <v>149</v>
      </c>
      <c r="U59" s="31" t="s">
        <v>149</v>
      </c>
      <c r="V59" s="23" t="s">
        <v>149</v>
      </c>
      <c r="W59" s="26" t="s">
        <v>149</v>
      </c>
    </row>
    <row r="60" spans="2:23" ht="13.2">
      <c r="B60" s="83" t="s">
        <v>16</v>
      </c>
      <c r="C60" s="84" t="s">
        <v>15</v>
      </c>
      <c r="D60" s="84" t="s">
        <v>173</v>
      </c>
      <c r="E60" s="84" t="s">
        <v>269</v>
      </c>
      <c r="F60" s="99" t="s">
        <v>400</v>
      </c>
      <c r="G60" s="99" t="s">
        <v>405</v>
      </c>
      <c r="H60" s="84" t="s">
        <v>285</v>
      </c>
      <c r="I60" s="137">
        <v>46058</v>
      </c>
      <c r="J60" s="85" t="s">
        <v>413</v>
      </c>
      <c r="K60" s="161" t="s">
        <v>149</v>
      </c>
      <c r="L60" s="84" t="s">
        <v>150</v>
      </c>
      <c r="M60" s="23" t="s">
        <v>150</v>
      </c>
      <c r="N60" s="84" t="s">
        <v>426</v>
      </c>
      <c r="O60" s="162" t="s">
        <v>41</v>
      </c>
      <c r="P60" s="163" t="s">
        <v>41</v>
      </c>
      <c r="Q60" s="163" t="s">
        <v>41</v>
      </c>
      <c r="R60" s="60" t="s">
        <v>149</v>
      </c>
      <c r="S60" s="78" t="s">
        <v>149</v>
      </c>
      <c r="T60" s="128" t="s">
        <v>149</v>
      </c>
      <c r="U60" s="31" t="s">
        <v>149</v>
      </c>
      <c r="V60" s="23" t="s">
        <v>149</v>
      </c>
      <c r="W60" s="26" t="s">
        <v>149</v>
      </c>
    </row>
    <row r="61" spans="2:23" ht="13.2">
      <c r="B61" s="83" t="s">
        <v>16</v>
      </c>
      <c r="C61" s="84" t="s">
        <v>15</v>
      </c>
      <c r="D61" s="84" t="s">
        <v>179</v>
      </c>
      <c r="E61" s="84" t="s">
        <v>269</v>
      </c>
      <c r="F61" s="99" t="s">
        <v>400</v>
      </c>
      <c r="G61" s="99" t="s">
        <v>405</v>
      </c>
      <c r="H61" s="84" t="s">
        <v>285</v>
      </c>
      <c r="I61" s="137">
        <v>46058</v>
      </c>
      <c r="J61" s="85" t="s">
        <v>413</v>
      </c>
      <c r="K61" s="161" t="s">
        <v>149</v>
      </c>
      <c r="L61" s="84" t="s">
        <v>150</v>
      </c>
      <c r="M61" s="23" t="s">
        <v>150</v>
      </c>
      <c r="N61" s="84" t="s">
        <v>426</v>
      </c>
      <c r="O61" s="162" t="s">
        <v>41</v>
      </c>
      <c r="P61" s="163" t="s">
        <v>41</v>
      </c>
      <c r="Q61" s="163" t="s">
        <v>41</v>
      </c>
      <c r="R61" s="60" t="s">
        <v>149</v>
      </c>
      <c r="S61" s="78" t="s">
        <v>149</v>
      </c>
      <c r="T61" s="128" t="s">
        <v>149</v>
      </c>
      <c r="U61" s="31" t="s">
        <v>149</v>
      </c>
      <c r="V61" s="23" t="s">
        <v>149</v>
      </c>
      <c r="W61" s="26" t="s">
        <v>149</v>
      </c>
    </row>
    <row r="62" spans="2:23" ht="13.2">
      <c r="B62" s="83" t="s">
        <v>16</v>
      </c>
      <c r="C62" s="84" t="s">
        <v>15</v>
      </c>
      <c r="D62" s="84" t="s">
        <v>175</v>
      </c>
      <c r="E62" s="84" t="s">
        <v>269</v>
      </c>
      <c r="F62" s="99" t="s">
        <v>400</v>
      </c>
      <c r="G62" s="99" t="s">
        <v>405</v>
      </c>
      <c r="H62" s="84" t="s">
        <v>285</v>
      </c>
      <c r="I62" s="137">
        <v>46058</v>
      </c>
      <c r="J62" s="85" t="s">
        <v>413</v>
      </c>
      <c r="K62" s="161" t="s">
        <v>149</v>
      </c>
      <c r="L62" s="84" t="s">
        <v>150</v>
      </c>
      <c r="M62" s="23" t="s">
        <v>150</v>
      </c>
      <c r="N62" s="84" t="s">
        <v>426</v>
      </c>
      <c r="O62" s="162" t="s">
        <v>41</v>
      </c>
      <c r="P62" s="163" t="s">
        <v>41</v>
      </c>
      <c r="Q62" s="163" t="s">
        <v>41</v>
      </c>
      <c r="R62" s="60" t="s">
        <v>149</v>
      </c>
      <c r="S62" s="78" t="s">
        <v>149</v>
      </c>
      <c r="T62" s="128" t="s">
        <v>149</v>
      </c>
      <c r="U62" s="31" t="s">
        <v>149</v>
      </c>
      <c r="V62" s="23" t="s">
        <v>149</v>
      </c>
      <c r="W62" s="26" t="s">
        <v>149</v>
      </c>
    </row>
    <row r="63" spans="2:23" ht="13.2">
      <c r="B63" s="83" t="s">
        <v>16</v>
      </c>
      <c r="C63" s="84" t="s">
        <v>15</v>
      </c>
      <c r="D63" s="84" t="s">
        <v>176</v>
      </c>
      <c r="E63" s="84" t="s">
        <v>269</v>
      </c>
      <c r="F63" s="99" t="s">
        <v>400</v>
      </c>
      <c r="G63" s="99" t="s">
        <v>405</v>
      </c>
      <c r="H63" s="84" t="s">
        <v>285</v>
      </c>
      <c r="I63" s="137">
        <v>46058</v>
      </c>
      <c r="J63" s="85" t="s">
        <v>413</v>
      </c>
      <c r="K63" s="161" t="s">
        <v>149</v>
      </c>
      <c r="L63" s="84" t="s">
        <v>150</v>
      </c>
      <c r="M63" s="23" t="s">
        <v>150</v>
      </c>
      <c r="N63" s="84" t="s">
        <v>426</v>
      </c>
      <c r="O63" s="162" t="s">
        <v>41</v>
      </c>
      <c r="P63" s="163" t="s">
        <v>41</v>
      </c>
      <c r="Q63" s="163" t="s">
        <v>41</v>
      </c>
      <c r="R63" s="60" t="s">
        <v>149</v>
      </c>
      <c r="S63" s="78" t="s">
        <v>149</v>
      </c>
      <c r="T63" s="128" t="s">
        <v>149</v>
      </c>
      <c r="U63" s="31" t="s">
        <v>149</v>
      </c>
      <c r="V63" s="23" t="s">
        <v>149</v>
      </c>
      <c r="W63" s="26" t="s">
        <v>149</v>
      </c>
    </row>
    <row r="64" spans="2:23" ht="13.2">
      <c r="B64" s="83" t="s">
        <v>16</v>
      </c>
      <c r="C64" s="84" t="s">
        <v>15</v>
      </c>
      <c r="D64" s="84" t="s">
        <v>178</v>
      </c>
      <c r="E64" s="84" t="s">
        <v>269</v>
      </c>
      <c r="F64" s="99" t="s">
        <v>400</v>
      </c>
      <c r="G64" s="99" t="s">
        <v>405</v>
      </c>
      <c r="H64" s="84" t="s">
        <v>285</v>
      </c>
      <c r="I64" s="137">
        <v>46059</v>
      </c>
      <c r="J64" s="85" t="s">
        <v>413</v>
      </c>
      <c r="K64" s="161" t="s">
        <v>149</v>
      </c>
      <c r="L64" s="84" t="s">
        <v>150</v>
      </c>
      <c r="M64" s="23" t="s">
        <v>150</v>
      </c>
      <c r="N64" s="84" t="s">
        <v>426</v>
      </c>
      <c r="O64" s="162" t="s">
        <v>41</v>
      </c>
      <c r="P64" s="163" t="s">
        <v>41</v>
      </c>
      <c r="Q64" s="163" t="s">
        <v>41</v>
      </c>
      <c r="R64" s="60" t="s">
        <v>149</v>
      </c>
      <c r="S64" s="78" t="s">
        <v>149</v>
      </c>
      <c r="T64" s="128" t="s">
        <v>149</v>
      </c>
      <c r="U64" s="31" t="s">
        <v>149</v>
      </c>
      <c r="V64" s="23" t="s">
        <v>149</v>
      </c>
      <c r="W64" s="26" t="s">
        <v>149</v>
      </c>
    </row>
    <row r="65" spans="2:23" ht="13.2">
      <c r="B65" s="83" t="s">
        <v>16</v>
      </c>
      <c r="C65" s="84" t="s">
        <v>15</v>
      </c>
      <c r="D65" s="84" t="s">
        <v>171</v>
      </c>
      <c r="E65" s="84" t="s">
        <v>269</v>
      </c>
      <c r="F65" s="99" t="s">
        <v>400</v>
      </c>
      <c r="G65" s="99" t="s">
        <v>405</v>
      </c>
      <c r="H65" s="84" t="s">
        <v>285</v>
      </c>
      <c r="I65" s="137">
        <v>46059</v>
      </c>
      <c r="J65" s="85" t="s">
        <v>413</v>
      </c>
      <c r="K65" s="161" t="s">
        <v>149</v>
      </c>
      <c r="L65" s="84" t="s">
        <v>150</v>
      </c>
      <c r="M65" s="23" t="s">
        <v>150</v>
      </c>
      <c r="N65" s="84" t="s">
        <v>426</v>
      </c>
      <c r="O65" s="162" t="s">
        <v>41</v>
      </c>
      <c r="P65" s="163" t="s">
        <v>41</v>
      </c>
      <c r="Q65" s="163" t="s">
        <v>41</v>
      </c>
      <c r="R65" s="60" t="s">
        <v>149</v>
      </c>
      <c r="S65" s="78" t="s">
        <v>149</v>
      </c>
      <c r="T65" s="128" t="s">
        <v>149</v>
      </c>
      <c r="U65" s="31" t="s">
        <v>149</v>
      </c>
      <c r="V65" s="23" t="s">
        <v>149</v>
      </c>
      <c r="W65" s="26" t="s">
        <v>149</v>
      </c>
    </row>
    <row r="66" spans="2:23" ht="13.2">
      <c r="B66" s="83" t="s">
        <v>16</v>
      </c>
      <c r="C66" s="84" t="s">
        <v>15</v>
      </c>
      <c r="D66" s="84" t="s">
        <v>273</v>
      </c>
      <c r="E66" s="84" t="s">
        <v>269</v>
      </c>
      <c r="F66" s="99" t="s">
        <v>400</v>
      </c>
      <c r="G66" s="99" t="s">
        <v>405</v>
      </c>
      <c r="H66" s="84" t="s">
        <v>285</v>
      </c>
      <c r="I66" s="137">
        <v>46059</v>
      </c>
      <c r="J66" s="85" t="s">
        <v>413</v>
      </c>
      <c r="K66" s="161" t="s">
        <v>149</v>
      </c>
      <c r="L66" s="84" t="s">
        <v>150</v>
      </c>
      <c r="M66" s="23" t="s">
        <v>150</v>
      </c>
      <c r="N66" s="84" t="s">
        <v>426</v>
      </c>
      <c r="O66" s="162" t="s">
        <v>41</v>
      </c>
      <c r="P66" s="163" t="s">
        <v>41</v>
      </c>
      <c r="Q66" s="163" t="s">
        <v>41</v>
      </c>
      <c r="R66" s="60" t="s">
        <v>149</v>
      </c>
      <c r="S66" s="78" t="s">
        <v>149</v>
      </c>
      <c r="T66" s="128" t="s">
        <v>149</v>
      </c>
      <c r="U66" s="31" t="s">
        <v>149</v>
      </c>
      <c r="V66" s="23" t="s">
        <v>149</v>
      </c>
      <c r="W66" s="26" t="s">
        <v>149</v>
      </c>
    </row>
    <row r="67" spans="2:23" ht="13.2">
      <c r="B67" s="83" t="s">
        <v>16</v>
      </c>
      <c r="C67" s="84" t="s">
        <v>15</v>
      </c>
      <c r="D67" s="84" t="s">
        <v>286</v>
      </c>
      <c r="E67" s="84" t="s">
        <v>269</v>
      </c>
      <c r="F67" s="99" t="s">
        <v>400</v>
      </c>
      <c r="G67" s="99" t="s">
        <v>405</v>
      </c>
      <c r="H67" s="84" t="s">
        <v>285</v>
      </c>
      <c r="I67" s="137">
        <v>46059</v>
      </c>
      <c r="J67" s="85" t="s">
        <v>413</v>
      </c>
      <c r="K67" s="161" t="s">
        <v>149</v>
      </c>
      <c r="L67" s="84" t="s">
        <v>150</v>
      </c>
      <c r="M67" s="23" t="s">
        <v>150</v>
      </c>
      <c r="N67" s="84" t="s">
        <v>426</v>
      </c>
      <c r="O67" s="162" t="s">
        <v>41</v>
      </c>
      <c r="P67" s="163" t="s">
        <v>41</v>
      </c>
      <c r="Q67" s="163" t="s">
        <v>41</v>
      </c>
      <c r="R67" s="60" t="s">
        <v>149</v>
      </c>
      <c r="S67" s="78" t="s">
        <v>149</v>
      </c>
      <c r="T67" s="128" t="s">
        <v>149</v>
      </c>
      <c r="U67" s="31" t="s">
        <v>149</v>
      </c>
      <c r="V67" s="23" t="s">
        <v>149</v>
      </c>
      <c r="W67" s="26" t="s">
        <v>149</v>
      </c>
    </row>
    <row r="68" spans="2:23" ht="13.2">
      <c r="B68" s="83" t="s">
        <v>16</v>
      </c>
      <c r="C68" s="84" t="s">
        <v>15</v>
      </c>
      <c r="D68" s="84" t="s">
        <v>174</v>
      </c>
      <c r="E68" s="84" t="s">
        <v>271</v>
      </c>
      <c r="F68" s="99" t="s">
        <v>400</v>
      </c>
      <c r="G68" s="99" t="s">
        <v>405</v>
      </c>
      <c r="H68" s="23" t="s">
        <v>407</v>
      </c>
      <c r="I68" s="137">
        <v>46064</v>
      </c>
      <c r="J68" s="85" t="s">
        <v>414</v>
      </c>
      <c r="K68" s="161" t="s">
        <v>149</v>
      </c>
      <c r="L68" s="84" t="s">
        <v>149</v>
      </c>
      <c r="M68" s="23" t="s">
        <v>150</v>
      </c>
      <c r="N68" s="84" t="s">
        <v>149</v>
      </c>
      <c r="O68" s="162" t="s">
        <v>41</v>
      </c>
      <c r="P68" s="163" t="s">
        <v>41</v>
      </c>
      <c r="Q68" s="163" t="s">
        <v>41</v>
      </c>
      <c r="R68" s="60" t="s">
        <v>149</v>
      </c>
      <c r="S68" s="78" t="s">
        <v>149</v>
      </c>
      <c r="T68" s="128" t="s">
        <v>149</v>
      </c>
      <c r="U68" s="31" t="s">
        <v>149</v>
      </c>
      <c r="V68" s="23" t="s">
        <v>149</v>
      </c>
      <c r="W68" s="26" t="s">
        <v>149</v>
      </c>
    </row>
    <row r="69" spans="2:23" ht="13.2">
      <c r="B69" s="83" t="s">
        <v>16</v>
      </c>
      <c r="C69" s="84" t="s">
        <v>15</v>
      </c>
      <c r="D69" s="84" t="s">
        <v>173</v>
      </c>
      <c r="E69" s="84" t="s">
        <v>271</v>
      </c>
      <c r="F69" s="99" t="s">
        <v>400</v>
      </c>
      <c r="G69" s="99" t="s">
        <v>405</v>
      </c>
      <c r="H69" s="23" t="s">
        <v>407</v>
      </c>
      <c r="I69" s="137">
        <v>46064</v>
      </c>
      <c r="J69" s="85" t="s">
        <v>414</v>
      </c>
      <c r="K69" s="161" t="s">
        <v>149</v>
      </c>
      <c r="L69" s="84" t="s">
        <v>149</v>
      </c>
      <c r="M69" s="23" t="s">
        <v>150</v>
      </c>
      <c r="N69" s="84" t="s">
        <v>149</v>
      </c>
      <c r="O69" s="162" t="s">
        <v>41</v>
      </c>
      <c r="P69" s="163" t="s">
        <v>41</v>
      </c>
      <c r="Q69" s="163" t="s">
        <v>41</v>
      </c>
      <c r="R69" s="60" t="s">
        <v>149</v>
      </c>
      <c r="S69" s="78" t="s">
        <v>149</v>
      </c>
      <c r="T69" s="128" t="s">
        <v>149</v>
      </c>
      <c r="U69" s="31" t="s">
        <v>149</v>
      </c>
      <c r="V69" s="23" t="s">
        <v>149</v>
      </c>
      <c r="W69" s="26" t="s">
        <v>149</v>
      </c>
    </row>
    <row r="70" spans="2:23" ht="13.2">
      <c r="B70" s="83" t="s">
        <v>16</v>
      </c>
      <c r="C70" s="84" t="s">
        <v>15</v>
      </c>
      <c r="D70" s="84" t="s">
        <v>179</v>
      </c>
      <c r="E70" s="84" t="s">
        <v>271</v>
      </c>
      <c r="F70" s="99" t="s">
        <v>400</v>
      </c>
      <c r="G70" s="99" t="s">
        <v>405</v>
      </c>
      <c r="H70" s="23" t="s">
        <v>407</v>
      </c>
      <c r="I70" s="137">
        <v>46064</v>
      </c>
      <c r="J70" s="85" t="s">
        <v>414</v>
      </c>
      <c r="K70" s="161" t="s">
        <v>149</v>
      </c>
      <c r="L70" s="84" t="s">
        <v>149</v>
      </c>
      <c r="M70" s="23" t="s">
        <v>150</v>
      </c>
      <c r="N70" s="84" t="s">
        <v>149</v>
      </c>
      <c r="O70" s="162" t="s">
        <v>41</v>
      </c>
      <c r="P70" s="163" t="s">
        <v>41</v>
      </c>
      <c r="Q70" s="163" t="s">
        <v>41</v>
      </c>
      <c r="R70" s="60" t="s">
        <v>149</v>
      </c>
      <c r="S70" s="78" t="s">
        <v>149</v>
      </c>
      <c r="T70" s="128" t="s">
        <v>149</v>
      </c>
      <c r="U70" s="31" t="s">
        <v>149</v>
      </c>
      <c r="V70" s="23" t="s">
        <v>149</v>
      </c>
      <c r="W70" s="26" t="s">
        <v>149</v>
      </c>
    </row>
    <row r="71" spans="2:23" ht="13.2">
      <c r="B71" s="83" t="s">
        <v>6</v>
      </c>
      <c r="C71" s="84" t="s">
        <v>5</v>
      </c>
      <c r="D71" s="84" t="s">
        <v>244</v>
      </c>
      <c r="E71" s="84" t="s">
        <v>159</v>
      </c>
      <c r="F71" s="99" t="s">
        <v>408</v>
      </c>
      <c r="G71" s="99" t="s">
        <v>405</v>
      </c>
      <c r="H71" s="84" t="s">
        <v>407</v>
      </c>
      <c r="I71" s="137">
        <v>46022</v>
      </c>
      <c r="J71" s="85" t="s">
        <v>414</v>
      </c>
      <c r="K71" s="161" t="s">
        <v>149</v>
      </c>
      <c r="L71" s="60" t="s">
        <v>150</v>
      </c>
      <c r="M71" s="60" t="s">
        <v>149</v>
      </c>
      <c r="N71" s="84" t="s">
        <v>149</v>
      </c>
      <c r="O71" s="162" t="s">
        <v>41</v>
      </c>
      <c r="P71" s="163" t="s">
        <v>41</v>
      </c>
      <c r="Q71" s="163" t="s">
        <v>41</v>
      </c>
      <c r="R71" s="60" t="s">
        <v>149</v>
      </c>
      <c r="S71" s="78" t="s">
        <v>149</v>
      </c>
      <c r="T71" s="128" t="s">
        <v>149</v>
      </c>
      <c r="U71" s="31" t="s">
        <v>149</v>
      </c>
      <c r="V71" s="23" t="s">
        <v>149</v>
      </c>
      <c r="W71" s="26" t="s">
        <v>149</v>
      </c>
    </row>
    <row r="72" spans="2:23" ht="13.2">
      <c r="B72" s="83" t="s">
        <v>6</v>
      </c>
      <c r="C72" s="84" t="s">
        <v>5</v>
      </c>
      <c r="D72" s="84" t="s">
        <v>244</v>
      </c>
      <c r="E72" s="84" t="s">
        <v>159</v>
      </c>
      <c r="F72" s="99" t="s">
        <v>409</v>
      </c>
      <c r="G72" s="99" t="s">
        <v>405</v>
      </c>
      <c r="H72" s="84" t="s">
        <v>407</v>
      </c>
      <c r="I72" s="137">
        <v>46022</v>
      </c>
      <c r="J72" s="85" t="s">
        <v>414</v>
      </c>
      <c r="K72" s="161" t="s">
        <v>149</v>
      </c>
      <c r="L72" s="60" t="s">
        <v>150</v>
      </c>
      <c r="M72" s="60" t="s">
        <v>149</v>
      </c>
      <c r="N72" s="84" t="s">
        <v>149</v>
      </c>
      <c r="O72" s="162" t="s">
        <v>41</v>
      </c>
      <c r="P72" s="163" t="s">
        <v>41</v>
      </c>
      <c r="Q72" s="163" t="s">
        <v>41</v>
      </c>
      <c r="R72" s="60" t="s">
        <v>149</v>
      </c>
      <c r="S72" s="78" t="s">
        <v>149</v>
      </c>
      <c r="T72" s="128" t="s">
        <v>149</v>
      </c>
      <c r="U72" s="31" t="s">
        <v>149</v>
      </c>
      <c r="V72" s="23" t="s">
        <v>149</v>
      </c>
      <c r="W72" s="26" t="s">
        <v>149</v>
      </c>
    </row>
    <row r="73" spans="2:23" ht="13.2">
      <c r="B73" s="83" t="s">
        <v>6</v>
      </c>
      <c r="C73" s="84" t="s">
        <v>5</v>
      </c>
      <c r="D73" s="84" t="s">
        <v>244</v>
      </c>
      <c r="E73" s="84" t="s">
        <v>159</v>
      </c>
      <c r="F73" s="99" t="s">
        <v>400</v>
      </c>
      <c r="G73" s="99" t="s">
        <v>405</v>
      </c>
      <c r="H73" s="84" t="s">
        <v>407</v>
      </c>
      <c r="I73" s="137">
        <v>46087</v>
      </c>
      <c r="J73" s="85" t="s">
        <v>414</v>
      </c>
      <c r="K73" s="161" t="s">
        <v>149</v>
      </c>
      <c r="L73" s="60" t="s">
        <v>150</v>
      </c>
      <c r="M73" s="60" t="s">
        <v>149</v>
      </c>
      <c r="N73" s="84" t="s">
        <v>149</v>
      </c>
      <c r="O73" s="162" t="s">
        <v>41</v>
      </c>
      <c r="P73" s="163" t="s">
        <v>41</v>
      </c>
      <c r="Q73" s="163" t="s">
        <v>41</v>
      </c>
      <c r="R73" s="60" t="s">
        <v>149</v>
      </c>
      <c r="S73" s="78" t="s">
        <v>149</v>
      </c>
      <c r="T73" s="128" t="s">
        <v>149</v>
      </c>
      <c r="U73" s="31" t="s">
        <v>149</v>
      </c>
      <c r="V73" s="23" t="s">
        <v>149</v>
      </c>
      <c r="W73" s="26" t="s">
        <v>149</v>
      </c>
    </row>
    <row r="74" spans="2:23" ht="13.2">
      <c r="B74" s="83" t="s">
        <v>20</v>
      </c>
      <c r="C74" s="84" t="s">
        <v>19</v>
      </c>
      <c r="D74" s="84" t="s">
        <v>245</v>
      </c>
      <c r="E74" s="84" t="s">
        <v>159</v>
      </c>
      <c r="F74" s="99" t="s">
        <v>400</v>
      </c>
      <c r="G74" s="99" t="s">
        <v>405</v>
      </c>
      <c r="H74" s="23" t="s">
        <v>407</v>
      </c>
      <c r="I74" s="137">
        <v>46063</v>
      </c>
      <c r="J74" s="85" t="s">
        <v>414</v>
      </c>
      <c r="K74" s="161" t="s">
        <v>149</v>
      </c>
      <c r="L74" s="60" t="s">
        <v>150</v>
      </c>
      <c r="M74" s="60" t="s">
        <v>149</v>
      </c>
      <c r="N74" s="84" t="s">
        <v>149</v>
      </c>
      <c r="O74" s="162" t="s">
        <v>41</v>
      </c>
      <c r="P74" s="163" t="s">
        <v>41</v>
      </c>
      <c r="Q74" s="163" t="s">
        <v>41</v>
      </c>
      <c r="R74" s="60" t="s">
        <v>149</v>
      </c>
      <c r="S74" s="78" t="s">
        <v>149</v>
      </c>
      <c r="T74" s="128" t="s">
        <v>149</v>
      </c>
      <c r="U74" s="31" t="s">
        <v>149</v>
      </c>
      <c r="V74" s="23" t="s">
        <v>149</v>
      </c>
      <c r="W74" s="26" t="s">
        <v>149</v>
      </c>
    </row>
    <row r="75" spans="2:23" ht="13.2">
      <c r="B75" s="83" t="s">
        <v>20</v>
      </c>
      <c r="C75" s="84" t="s">
        <v>19</v>
      </c>
      <c r="D75" s="84" t="s">
        <v>245</v>
      </c>
      <c r="E75" s="84" t="s">
        <v>284</v>
      </c>
      <c r="F75" s="99" t="s">
        <v>400</v>
      </c>
      <c r="G75" s="99" t="s">
        <v>405</v>
      </c>
      <c r="H75" s="84" t="s">
        <v>233</v>
      </c>
      <c r="I75" s="137">
        <v>46081</v>
      </c>
      <c r="J75" s="85" t="s">
        <v>414</v>
      </c>
      <c r="K75" s="161" t="s">
        <v>149</v>
      </c>
      <c r="L75" s="84" t="s">
        <v>150</v>
      </c>
      <c r="M75" s="23" t="s">
        <v>150</v>
      </c>
      <c r="N75" s="84" t="s">
        <v>150</v>
      </c>
      <c r="O75" s="162" t="s">
        <v>41</v>
      </c>
      <c r="P75" s="163" t="s">
        <v>41</v>
      </c>
      <c r="Q75" s="163" t="s">
        <v>41</v>
      </c>
      <c r="R75" s="60" t="s">
        <v>149</v>
      </c>
      <c r="S75" s="78" t="s">
        <v>149</v>
      </c>
      <c r="T75" s="128" t="s">
        <v>149</v>
      </c>
      <c r="U75" s="31" t="s">
        <v>149</v>
      </c>
      <c r="V75" s="23" t="s">
        <v>149</v>
      </c>
      <c r="W75" s="26" t="s">
        <v>149</v>
      </c>
    </row>
    <row r="76" spans="2:23" ht="13.2">
      <c r="B76" s="83" t="s">
        <v>20</v>
      </c>
      <c r="C76" s="84" t="s">
        <v>19</v>
      </c>
      <c r="D76" s="84" t="s">
        <v>245</v>
      </c>
      <c r="E76" s="84" t="s">
        <v>269</v>
      </c>
      <c r="F76" s="99" t="s">
        <v>400</v>
      </c>
      <c r="G76" s="99" t="s">
        <v>405</v>
      </c>
      <c r="H76" s="23" t="s">
        <v>407</v>
      </c>
      <c r="I76" s="137">
        <v>46081</v>
      </c>
      <c r="J76" s="85" t="s">
        <v>414</v>
      </c>
      <c r="K76" s="161" t="s">
        <v>149</v>
      </c>
      <c r="L76" s="84" t="s">
        <v>150</v>
      </c>
      <c r="M76" s="23" t="s">
        <v>150</v>
      </c>
      <c r="N76" s="84" t="s">
        <v>150</v>
      </c>
      <c r="O76" s="162" t="s">
        <v>41</v>
      </c>
      <c r="P76" s="163" t="s">
        <v>41</v>
      </c>
      <c r="Q76" s="163" t="s">
        <v>41</v>
      </c>
      <c r="R76" s="60" t="s">
        <v>149</v>
      </c>
      <c r="S76" s="78" t="s">
        <v>149</v>
      </c>
      <c r="T76" s="128" t="s">
        <v>149</v>
      </c>
      <c r="U76" s="31" t="s">
        <v>149</v>
      </c>
      <c r="V76" s="23" t="s">
        <v>149</v>
      </c>
      <c r="W76" s="26" t="s">
        <v>149</v>
      </c>
    </row>
    <row r="77" spans="2:23" ht="13.2">
      <c r="B77" s="83" t="s">
        <v>20</v>
      </c>
      <c r="C77" s="84" t="s">
        <v>19</v>
      </c>
      <c r="D77" s="84" t="s">
        <v>245</v>
      </c>
      <c r="E77" s="24" t="s">
        <v>240</v>
      </c>
      <c r="F77" s="99" t="s">
        <v>400</v>
      </c>
      <c r="G77" s="99" t="s">
        <v>405</v>
      </c>
      <c r="H77" s="84" t="s">
        <v>287</v>
      </c>
      <c r="I77" s="137">
        <v>46067</v>
      </c>
      <c r="J77" s="85" t="s">
        <v>413</v>
      </c>
      <c r="K77" s="161" t="s">
        <v>149</v>
      </c>
      <c r="L77" s="84" t="s">
        <v>149</v>
      </c>
      <c r="M77" s="23" t="s">
        <v>150</v>
      </c>
      <c r="N77" s="84" t="s">
        <v>149</v>
      </c>
      <c r="O77" s="162" t="s">
        <v>41</v>
      </c>
      <c r="P77" s="163" t="s">
        <v>41</v>
      </c>
      <c r="Q77" s="163" t="s">
        <v>41</v>
      </c>
      <c r="R77" s="60" t="s">
        <v>149</v>
      </c>
      <c r="S77" s="78" t="s">
        <v>149</v>
      </c>
      <c r="T77" s="128" t="s">
        <v>149</v>
      </c>
      <c r="U77" s="31" t="s">
        <v>149</v>
      </c>
      <c r="V77" s="23" t="s">
        <v>149</v>
      </c>
      <c r="W77" s="26" t="s">
        <v>149</v>
      </c>
    </row>
    <row r="78" spans="2:23" ht="13.2">
      <c r="B78" s="83" t="s">
        <v>20</v>
      </c>
      <c r="C78" s="84" t="s">
        <v>19</v>
      </c>
      <c r="D78" s="84" t="s">
        <v>246</v>
      </c>
      <c r="E78" s="84" t="s">
        <v>159</v>
      </c>
      <c r="F78" s="99" t="s">
        <v>400</v>
      </c>
      <c r="G78" s="99" t="s">
        <v>405</v>
      </c>
      <c r="H78" s="23" t="s">
        <v>407</v>
      </c>
      <c r="I78" s="137">
        <v>46063</v>
      </c>
      <c r="J78" s="85" t="s">
        <v>413</v>
      </c>
      <c r="K78" s="161" t="s">
        <v>149</v>
      </c>
      <c r="L78" s="60" t="s">
        <v>150</v>
      </c>
      <c r="M78" s="60" t="s">
        <v>149</v>
      </c>
      <c r="N78" s="84" t="s">
        <v>149</v>
      </c>
      <c r="O78" s="162" t="s">
        <v>41</v>
      </c>
      <c r="P78" s="163" t="s">
        <v>41</v>
      </c>
      <c r="Q78" s="163" t="s">
        <v>41</v>
      </c>
      <c r="R78" s="60" t="s">
        <v>149</v>
      </c>
      <c r="S78" s="78" t="s">
        <v>149</v>
      </c>
      <c r="T78" s="128" t="s">
        <v>149</v>
      </c>
      <c r="U78" s="31" t="s">
        <v>149</v>
      </c>
      <c r="V78" s="23" t="s">
        <v>149</v>
      </c>
      <c r="W78" s="26" t="s">
        <v>149</v>
      </c>
    </row>
    <row r="79" spans="2:23" ht="13.2">
      <c r="B79" s="83" t="s">
        <v>20</v>
      </c>
      <c r="C79" s="84" t="s">
        <v>19</v>
      </c>
      <c r="D79" s="84" t="s">
        <v>246</v>
      </c>
      <c r="E79" s="84" t="s">
        <v>284</v>
      </c>
      <c r="F79" s="99" t="s">
        <v>400</v>
      </c>
      <c r="G79" s="99" t="s">
        <v>405</v>
      </c>
      <c r="H79" s="84" t="s">
        <v>233</v>
      </c>
      <c r="I79" s="137">
        <v>46081</v>
      </c>
      <c r="J79" s="85" t="s">
        <v>414</v>
      </c>
      <c r="K79" s="161" t="s">
        <v>149</v>
      </c>
      <c r="L79" s="84" t="s">
        <v>150</v>
      </c>
      <c r="M79" s="23" t="s">
        <v>150</v>
      </c>
      <c r="N79" s="84" t="s">
        <v>150</v>
      </c>
      <c r="O79" s="162" t="s">
        <v>41</v>
      </c>
      <c r="P79" s="163" t="s">
        <v>41</v>
      </c>
      <c r="Q79" s="163" t="s">
        <v>41</v>
      </c>
      <c r="R79" s="60" t="s">
        <v>149</v>
      </c>
      <c r="S79" s="78" t="s">
        <v>149</v>
      </c>
      <c r="T79" s="128" t="s">
        <v>149</v>
      </c>
      <c r="U79" s="31" t="s">
        <v>149</v>
      </c>
      <c r="V79" s="23" t="s">
        <v>149</v>
      </c>
      <c r="W79" s="26" t="s">
        <v>149</v>
      </c>
    </row>
    <row r="80" spans="2:23" ht="13.2">
      <c r="B80" s="83" t="s">
        <v>20</v>
      </c>
      <c r="C80" s="84" t="s">
        <v>19</v>
      </c>
      <c r="D80" s="84" t="s">
        <v>246</v>
      </c>
      <c r="E80" s="84" t="s">
        <v>269</v>
      </c>
      <c r="F80" s="99" t="s">
        <v>400</v>
      </c>
      <c r="G80" s="99" t="s">
        <v>405</v>
      </c>
      <c r="H80" s="23" t="s">
        <v>407</v>
      </c>
      <c r="I80" s="137">
        <v>46081</v>
      </c>
      <c r="J80" s="85" t="s">
        <v>414</v>
      </c>
      <c r="K80" s="161" t="s">
        <v>149</v>
      </c>
      <c r="L80" s="84" t="s">
        <v>150</v>
      </c>
      <c r="M80" s="23" t="s">
        <v>150</v>
      </c>
      <c r="N80" s="84" t="s">
        <v>150</v>
      </c>
      <c r="O80" s="162" t="s">
        <v>41</v>
      </c>
      <c r="P80" s="163" t="s">
        <v>41</v>
      </c>
      <c r="Q80" s="163" t="s">
        <v>41</v>
      </c>
      <c r="R80" s="60" t="s">
        <v>149</v>
      </c>
      <c r="S80" s="78" t="s">
        <v>149</v>
      </c>
      <c r="T80" s="128" t="s">
        <v>149</v>
      </c>
      <c r="U80" s="31" t="s">
        <v>149</v>
      </c>
      <c r="V80" s="23" t="s">
        <v>149</v>
      </c>
      <c r="W80" s="26" t="s">
        <v>149</v>
      </c>
    </row>
    <row r="81" spans="2:23" ht="13.2">
      <c r="B81" s="83" t="s">
        <v>20</v>
      </c>
      <c r="C81" s="84" t="s">
        <v>19</v>
      </c>
      <c r="D81" s="84" t="s">
        <v>246</v>
      </c>
      <c r="E81" s="24" t="s">
        <v>240</v>
      </c>
      <c r="F81" s="99" t="s">
        <v>400</v>
      </c>
      <c r="G81" s="99" t="s">
        <v>405</v>
      </c>
      <c r="H81" s="84" t="s">
        <v>287</v>
      </c>
      <c r="I81" s="137">
        <v>46067</v>
      </c>
      <c r="J81" s="85" t="s">
        <v>413</v>
      </c>
      <c r="K81" s="161" t="s">
        <v>149</v>
      </c>
      <c r="L81" s="84" t="s">
        <v>149</v>
      </c>
      <c r="M81" s="23" t="s">
        <v>150</v>
      </c>
      <c r="N81" s="84" t="s">
        <v>149</v>
      </c>
      <c r="O81" s="162" t="s">
        <v>41</v>
      </c>
      <c r="P81" s="163" t="s">
        <v>41</v>
      </c>
      <c r="Q81" s="163" t="s">
        <v>41</v>
      </c>
      <c r="R81" s="60" t="s">
        <v>149</v>
      </c>
      <c r="S81" s="78" t="s">
        <v>149</v>
      </c>
      <c r="T81" s="128" t="s">
        <v>149</v>
      </c>
      <c r="U81" s="31" t="s">
        <v>149</v>
      </c>
      <c r="V81" s="23" t="s">
        <v>149</v>
      </c>
      <c r="W81" s="26" t="s">
        <v>149</v>
      </c>
    </row>
    <row r="82" spans="2:23" ht="13.2">
      <c r="B82" s="83" t="s">
        <v>12</v>
      </c>
      <c r="C82" s="84" t="s">
        <v>11</v>
      </c>
      <c r="D82" s="84" t="s">
        <v>247</v>
      </c>
      <c r="E82" s="24" t="s">
        <v>314</v>
      </c>
      <c r="F82" s="99" t="s">
        <v>400</v>
      </c>
      <c r="G82" s="99" t="s">
        <v>405</v>
      </c>
      <c r="H82" s="84" t="s">
        <v>248</v>
      </c>
      <c r="I82" s="137">
        <v>46044</v>
      </c>
      <c r="J82" s="85" t="s">
        <v>417</v>
      </c>
      <c r="K82" s="161" t="s">
        <v>149</v>
      </c>
      <c r="L82" s="84" t="s">
        <v>150</v>
      </c>
      <c r="M82" s="23" t="s">
        <v>150</v>
      </c>
      <c r="N82" s="84" t="s">
        <v>149</v>
      </c>
      <c r="O82" s="162" t="s">
        <v>41</v>
      </c>
      <c r="P82" s="163" t="s">
        <v>41</v>
      </c>
      <c r="Q82" s="163" t="s">
        <v>41</v>
      </c>
      <c r="R82" s="60" t="s">
        <v>149</v>
      </c>
      <c r="S82" s="78" t="s">
        <v>149</v>
      </c>
      <c r="T82" s="128" t="s">
        <v>149</v>
      </c>
      <c r="U82" s="31" t="s">
        <v>149</v>
      </c>
      <c r="V82" s="23" t="s">
        <v>149</v>
      </c>
      <c r="W82" s="26" t="s">
        <v>149</v>
      </c>
    </row>
    <row r="83" spans="2:23" ht="13.2">
      <c r="B83" s="83" t="s">
        <v>12</v>
      </c>
      <c r="C83" s="84" t="s">
        <v>11</v>
      </c>
      <c r="D83" s="84" t="s">
        <v>249</v>
      </c>
      <c r="E83" s="24" t="s">
        <v>314</v>
      </c>
      <c r="F83" s="99" t="s">
        <v>400</v>
      </c>
      <c r="G83" s="99" t="s">
        <v>405</v>
      </c>
      <c r="H83" s="84" t="s">
        <v>248</v>
      </c>
      <c r="I83" s="137">
        <v>46044</v>
      </c>
      <c r="J83" s="85" t="s">
        <v>417</v>
      </c>
      <c r="K83" s="161" t="s">
        <v>149</v>
      </c>
      <c r="L83" s="84" t="s">
        <v>150</v>
      </c>
      <c r="M83" s="23" t="s">
        <v>150</v>
      </c>
      <c r="N83" s="84" t="s">
        <v>149</v>
      </c>
      <c r="O83" s="162" t="s">
        <v>41</v>
      </c>
      <c r="P83" s="163" t="s">
        <v>41</v>
      </c>
      <c r="Q83" s="163" t="s">
        <v>41</v>
      </c>
      <c r="R83" s="60" t="s">
        <v>149</v>
      </c>
      <c r="S83" s="78" t="s">
        <v>149</v>
      </c>
      <c r="T83" s="128" t="s">
        <v>149</v>
      </c>
      <c r="U83" s="31" t="s">
        <v>149</v>
      </c>
      <c r="V83" s="23" t="s">
        <v>149</v>
      </c>
      <c r="W83" s="26" t="s">
        <v>149</v>
      </c>
    </row>
    <row r="84" spans="2:23" ht="13.2">
      <c r="B84" s="83" t="s">
        <v>12</v>
      </c>
      <c r="C84" s="84" t="s">
        <v>11</v>
      </c>
      <c r="D84" s="84" t="s">
        <v>250</v>
      </c>
      <c r="E84" s="24" t="s">
        <v>314</v>
      </c>
      <c r="F84" s="99" t="s">
        <v>400</v>
      </c>
      <c r="G84" s="99" t="s">
        <v>405</v>
      </c>
      <c r="H84" s="84" t="s">
        <v>248</v>
      </c>
      <c r="I84" s="137">
        <v>46044</v>
      </c>
      <c r="J84" s="85" t="s">
        <v>417</v>
      </c>
      <c r="K84" s="161" t="s">
        <v>149</v>
      </c>
      <c r="L84" s="84" t="s">
        <v>150</v>
      </c>
      <c r="M84" s="23" t="s">
        <v>150</v>
      </c>
      <c r="N84" s="84" t="s">
        <v>149</v>
      </c>
      <c r="O84" s="162" t="s">
        <v>41</v>
      </c>
      <c r="P84" s="163" t="s">
        <v>41</v>
      </c>
      <c r="Q84" s="163" t="s">
        <v>41</v>
      </c>
      <c r="R84" s="60" t="s">
        <v>149</v>
      </c>
      <c r="S84" s="78" t="s">
        <v>149</v>
      </c>
      <c r="T84" s="128" t="s">
        <v>149</v>
      </c>
      <c r="U84" s="31" t="s">
        <v>149</v>
      </c>
      <c r="V84" s="23" t="s">
        <v>149</v>
      </c>
      <c r="W84" s="26" t="s">
        <v>149</v>
      </c>
    </row>
    <row r="85" spans="2:23" ht="13.2">
      <c r="B85" s="83" t="s">
        <v>12</v>
      </c>
      <c r="C85" s="84" t="s">
        <v>11</v>
      </c>
      <c r="D85" s="84" t="s">
        <v>251</v>
      </c>
      <c r="E85" s="24" t="s">
        <v>314</v>
      </c>
      <c r="F85" s="99" t="s">
        <v>400</v>
      </c>
      <c r="G85" s="99" t="s">
        <v>405</v>
      </c>
      <c r="H85" s="84" t="s">
        <v>248</v>
      </c>
      <c r="I85" s="137">
        <v>46044</v>
      </c>
      <c r="J85" s="85" t="s">
        <v>417</v>
      </c>
      <c r="K85" s="161" t="s">
        <v>149</v>
      </c>
      <c r="L85" s="84" t="s">
        <v>150</v>
      </c>
      <c r="M85" s="23" t="s">
        <v>150</v>
      </c>
      <c r="N85" s="84" t="s">
        <v>252</v>
      </c>
      <c r="O85" s="162" t="s">
        <v>41</v>
      </c>
      <c r="P85" s="163" t="s">
        <v>41</v>
      </c>
      <c r="Q85" s="163" t="s">
        <v>41</v>
      </c>
      <c r="R85" s="60" t="s">
        <v>149</v>
      </c>
      <c r="S85" s="78" t="s">
        <v>149</v>
      </c>
      <c r="T85" s="128" t="s">
        <v>149</v>
      </c>
      <c r="U85" s="31" t="s">
        <v>149</v>
      </c>
      <c r="V85" s="23" t="s">
        <v>149</v>
      </c>
      <c r="W85" s="26" t="s">
        <v>149</v>
      </c>
    </row>
    <row r="86" spans="2:23" ht="13.2">
      <c r="B86" s="83" t="s">
        <v>12</v>
      </c>
      <c r="C86" s="84" t="s">
        <v>11</v>
      </c>
      <c r="D86" s="84" t="s">
        <v>253</v>
      </c>
      <c r="E86" s="24" t="s">
        <v>314</v>
      </c>
      <c r="F86" s="99" t="s">
        <v>400</v>
      </c>
      <c r="G86" s="99" t="s">
        <v>405</v>
      </c>
      <c r="H86" s="84" t="s">
        <v>248</v>
      </c>
      <c r="I86" s="137">
        <v>46044</v>
      </c>
      <c r="J86" s="85" t="s">
        <v>417</v>
      </c>
      <c r="K86" s="161" t="s">
        <v>149</v>
      </c>
      <c r="L86" s="84" t="s">
        <v>150</v>
      </c>
      <c r="M86" s="23" t="s">
        <v>150</v>
      </c>
      <c r="N86" s="84" t="s">
        <v>149</v>
      </c>
      <c r="O86" s="162" t="s">
        <v>41</v>
      </c>
      <c r="P86" s="163" t="s">
        <v>41</v>
      </c>
      <c r="Q86" s="163" t="s">
        <v>41</v>
      </c>
      <c r="R86" s="60" t="s">
        <v>149</v>
      </c>
      <c r="S86" s="78" t="s">
        <v>149</v>
      </c>
      <c r="T86" s="128" t="s">
        <v>149</v>
      </c>
      <c r="U86" s="31" t="s">
        <v>149</v>
      </c>
      <c r="V86" s="23" t="s">
        <v>149</v>
      </c>
      <c r="W86" s="26" t="s">
        <v>149</v>
      </c>
    </row>
    <row r="87" spans="2:23" ht="13.2">
      <c r="B87" s="83" t="s">
        <v>12</v>
      </c>
      <c r="C87" s="84" t="s">
        <v>11</v>
      </c>
      <c r="D87" s="84" t="s">
        <v>254</v>
      </c>
      <c r="E87" s="24" t="s">
        <v>314</v>
      </c>
      <c r="F87" s="99" t="s">
        <v>400</v>
      </c>
      <c r="G87" s="99" t="s">
        <v>405</v>
      </c>
      <c r="H87" s="84" t="s">
        <v>248</v>
      </c>
      <c r="I87" s="137">
        <v>46044</v>
      </c>
      <c r="J87" s="85" t="s">
        <v>417</v>
      </c>
      <c r="K87" s="161" t="s">
        <v>149</v>
      </c>
      <c r="L87" s="84" t="s">
        <v>150</v>
      </c>
      <c r="M87" s="23" t="s">
        <v>150</v>
      </c>
      <c r="N87" s="84" t="s">
        <v>149</v>
      </c>
      <c r="O87" s="162" t="s">
        <v>41</v>
      </c>
      <c r="P87" s="163" t="s">
        <v>41</v>
      </c>
      <c r="Q87" s="163" t="s">
        <v>41</v>
      </c>
      <c r="R87" s="60" t="s">
        <v>149</v>
      </c>
      <c r="S87" s="78" t="s">
        <v>149</v>
      </c>
      <c r="T87" s="128" t="s">
        <v>149</v>
      </c>
      <c r="U87" s="31" t="s">
        <v>149</v>
      </c>
      <c r="V87" s="23" t="s">
        <v>149</v>
      </c>
      <c r="W87" s="26" t="s">
        <v>149</v>
      </c>
    </row>
    <row r="88" spans="2:23" ht="13.2">
      <c r="B88" s="83" t="s">
        <v>12</v>
      </c>
      <c r="C88" s="84" t="s">
        <v>11</v>
      </c>
      <c r="D88" s="84" t="s">
        <v>255</v>
      </c>
      <c r="E88" s="24" t="s">
        <v>314</v>
      </c>
      <c r="F88" s="99" t="s">
        <v>400</v>
      </c>
      <c r="G88" s="99" t="s">
        <v>405</v>
      </c>
      <c r="H88" s="84" t="s">
        <v>256</v>
      </c>
      <c r="I88" s="137">
        <v>46044</v>
      </c>
      <c r="J88" s="85" t="s">
        <v>417</v>
      </c>
      <c r="K88" s="161" t="s">
        <v>149</v>
      </c>
      <c r="L88" s="84" t="s">
        <v>150</v>
      </c>
      <c r="M88" s="23" t="s">
        <v>150</v>
      </c>
      <c r="N88" s="84" t="s">
        <v>149</v>
      </c>
      <c r="O88" s="162" t="s">
        <v>41</v>
      </c>
      <c r="P88" s="163" t="s">
        <v>41</v>
      </c>
      <c r="Q88" s="163" t="s">
        <v>41</v>
      </c>
      <c r="R88" s="60" t="s">
        <v>149</v>
      </c>
      <c r="S88" s="78" t="s">
        <v>149</v>
      </c>
      <c r="T88" s="128" t="s">
        <v>149</v>
      </c>
      <c r="U88" s="31" t="s">
        <v>149</v>
      </c>
      <c r="V88" s="23" t="s">
        <v>149</v>
      </c>
      <c r="W88" s="26" t="s">
        <v>149</v>
      </c>
    </row>
    <row r="89" spans="2:23" ht="13.2">
      <c r="B89" s="83" t="s">
        <v>12</v>
      </c>
      <c r="C89" s="84" t="s">
        <v>11</v>
      </c>
      <c r="D89" s="84" t="s">
        <v>257</v>
      </c>
      <c r="E89" s="24" t="s">
        <v>314</v>
      </c>
      <c r="F89" s="99" t="s">
        <v>400</v>
      </c>
      <c r="G89" s="99" t="s">
        <v>405</v>
      </c>
      <c r="H89" s="84" t="s">
        <v>256</v>
      </c>
      <c r="I89" s="137">
        <v>46044</v>
      </c>
      <c r="J89" s="85" t="s">
        <v>417</v>
      </c>
      <c r="K89" s="161" t="s">
        <v>149</v>
      </c>
      <c r="L89" s="84" t="s">
        <v>150</v>
      </c>
      <c r="M89" s="23" t="s">
        <v>150</v>
      </c>
      <c r="N89" s="84" t="s">
        <v>252</v>
      </c>
      <c r="O89" s="162" t="s">
        <v>41</v>
      </c>
      <c r="P89" s="163" t="s">
        <v>41</v>
      </c>
      <c r="Q89" s="163" t="s">
        <v>41</v>
      </c>
      <c r="R89" s="60" t="s">
        <v>149</v>
      </c>
      <c r="S89" s="78" t="s">
        <v>149</v>
      </c>
      <c r="T89" s="128" t="s">
        <v>149</v>
      </c>
      <c r="U89" s="31" t="s">
        <v>149</v>
      </c>
      <c r="V89" s="23" t="s">
        <v>149</v>
      </c>
      <c r="W89" s="26" t="s">
        <v>149</v>
      </c>
    </row>
    <row r="90" spans="2:23" ht="13.2">
      <c r="B90" s="83" t="s">
        <v>12</v>
      </c>
      <c r="C90" s="84" t="s">
        <v>11</v>
      </c>
      <c r="D90" s="84" t="s">
        <v>258</v>
      </c>
      <c r="E90" s="24" t="s">
        <v>314</v>
      </c>
      <c r="F90" s="99" t="s">
        <v>400</v>
      </c>
      <c r="G90" s="99" t="s">
        <v>405</v>
      </c>
      <c r="H90" s="84" t="s">
        <v>248</v>
      </c>
      <c r="I90" s="137">
        <v>46044</v>
      </c>
      <c r="J90" s="85" t="s">
        <v>417</v>
      </c>
      <c r="K90" s="161" t="s">
        <v>149</v>
      </c>
      <c r="L90" s="84" t="s">
        <v>150</v>
      </c>
      <c r="M90" s="23" t="s">
        <v>150</v>
      </c>
      <c r="N90" s="84" t="s">
        <v>149</v>
      </c>
      <c r="O90" s="162" t="s">
        <v>41</v>
      </c>
      <c r="P90" s="163" t="s">
        <v>41</v>
      </c>
      <c r="Q90" s="163" t="s">
        <v>41</v>
      </c>
      <c r="R90" s="60" t="s">
        <v>149</v>
      </c>
      <c r="S90" s="78" t="s">
        <v>149</v>
      </c>
      <c r="T90" s="128" t="s">
        <v>149</v>
      </c>
      <c r="U90" s="31" t="s">
        <v>149</v>
      </c>
      <c r="V90" s="23" t="s">
        <v>149</v>
      </c>
      <c r="W90" s="26" t="s">
        <v>149</v>
      </c>
    </row>
    <row r="91" spans="2:23" ht="13.2">
      <c r="B91" s="83" t="s">
        <v>12</v>
      </c>
      <c r="C91" s="84" t="s">
        <v>11</v>
      </c>
      <c r="D91" s="84" t="s">
        <v>259</v>
      </c>
      <c r="E91" s="24" t="s">
        <v>314</v>
      </c>
      <c r="F91" s="99" t="s">
        <v>400</v>
      </c>
      <c r="G91" s="99" t="s">
        <v>405</v>
      </c>
      <c r="H91" s="84" t="s">
        <v>260</v>
      </c>
      <c r="I91" s="137">
        <v>46044</v>
      </c>
      <c r="J91" s="85" t="s">
        <v>417</v>
      </c>
      <c r="K91" s="161" t="s">
        <v>149</v>
      </c>
      <c r="L91" s="84" t="s">
        <v>150</v>
      </c>
      <c r="M91" s="23" t="s">
        <v>150</v>
      </c>
      <c r="N91" s="84" t="s">
        <v>149</v>
      </c>
      <c r="O91" s="162" t="s">
        <v>41</v>
      </c>
      <c r="P91" s="163" t="s">
        <v>41</v>
      </c>
      <c r="Q91" s="163" t="s">
        <v>41</v>
      </c>
      <c r="R91" s="60" t="s">
        <v>149</v>
      </c>
      <c r="S91" s="78" t="s">
        <v>149</v>
      </c>
      <c r="T91" s="128" t="s">
        <v>149</v>
      </c>
      <c r="U91" s="31" t="s">
        <v>149</v>
      </c>
      <c r="V91" s="23" t="s">
        <v>149</v>
      </c>
      <c r="W91" s="26" t="s">
        <v>149</v>
      </c>
    </row>
    <row r="92" spans="2:23" ht="13.2">
      <c r="B92" s="83" t="s">
        <v>12</v>
      </c>
      <c r="C92" s="84" t="s">
        <v>11</v>
      </c>
      <c r="D92" s="84" t="s">
        <v>320</v>
      </c>
      <c r="E92" s="166" t="s">
        <v>396</v>
      </c>
      <c r="F92" s="99" t="s">
        <v>400</v>
      </c>
      <c r="G92" s="99" t="s">
        <v>405</v>
      </c>
      <c r="H92" s="84" t="s">
        <v>410</v>
      </c>
      <c r="I92" s="137">
        <v>46048</v>
      </c>
      <c r="J92" s="85" t="s">
        <v>425</v>
      </c>
      <c r="K92" s="161" t="s">
        <v>149</v>
      </c>
      <c r="L92" s="84" t="s">
        <v>149</v>
      </c>
      <c r="M92" s="23" t="s">
        <v>150</v>
      </c>
      <c r="N92" s="84" t="s">
        <v>149</v>
      </c>
      <c r="O92" s="162" t="s">
        <v>41</v>
      </c>
      <c r="P92" s="163" t="s">
        <v>41</v>
      </c>
      <c r="Q92" s="163" t="s">
        <v>41</v>
      </c>
      <c r="R92" s="60" t="s">
        <v>149</v>
      </c>
      <c r="S92" s="78" t="s">
        <v>149</v>
      </c>
      <c r="T92" s="128" t="s">
        <v>149</v>
      </c>
      <c r="U92" s="31" t="s">
        <v>149</v>
      </c>
      <c r="V92" s="23" t="s">
        <v>149</v>
      </c>
      <c r="W92" s="26" t="s">
        <v>149</v>
      </c>
    </row>
    <row r="93" spans="2:23" ht="13.2">
      <c r="B93" s="83" t="s">
        <v>12</v>
      </c>
      <c r="C93" s="84" t="s">
        <v>11</v>
      </c>
      <c r="D93" s="84" t="s">
        <v>321</v>
      </c>
      <c r="E93" s="166" t="s">
        <v>396</v>
      </c>
      <c r="F93" s="99" t="s">
        <v>400</v>
      </c>
      <c r="G93" s="99" t="s">
        <v>405</v>
      </c>
      <c r="H93" s="84" t="s">
        <v>410</v>
      </c>
      <c r="I93" s="137">
        <v>46048</v>
      </c>
      <c r="J93" s="85" t="s">
        <v>425</v>
      </c>
      <c r="K93" s="161" t="s">
        <v>149</v>
      </c>
      <c r="L93" s="84" t="s">
        <v>149</v>
      </c>
      <c r="M93" s="23" t="s">
        <v>150</v>
      </c>
      <c r="N93" s="84" t="s">
        <v>149</v>
      </c>
      <c r="O93" s="162" t="s">
        <v>41</v>
      </c>
      <c r="P93" s="163" t="s">
        <v>41</v>
      </c>
      <c r="Q93" s="163" t="s">
        <v>41</v>
      </c>
      <c r="R93" s="60" t="s">
        <v>149</v>
      </c>
      <c r="S93" s="78" t="s">
        <v>149</v>
      </c>
      <c r="T93" s="128" t="s">
        <v>149</v>
      </c>
      <c r="U93" s="31" t="s">
        <v>149</v>
      </c>
      <c r="V93" s="23" t="s">
        <v>149</v>
      </c>
      <c r="W93" s="26" t="s">
        <v>149</v>
      </c>
    </row>
    <row r="94" spans="2:23" ht="13.2">
      <c r="B94" s="83" t="s">
        <v>12</v>
      </c>
      <c r="C94" s="84" t="s">
        <v>11</v>
      </c>
      <c r="D94" s="84" t="s">
        <v>322</v>
      </c>
      <c r="E94" s="166" t="s">
        <v>396</v>
      </c>
      <c r="F94" s="99" t="s">
        <v>400</v>
      </c>
      <c r="G94" s="99" t="s">
        <v>405</v>
      </c>
      <c r="H94" s="84" t="s">
        <v>410</v>
      </c>
      <c r="I94" s="137">
        <v>46048</v>
      </c>
      <c r="J94" s="85" t="s">
        <v>425</v>
      </c>
      <c r="K94" s="161" t="s">
        <v>149</v>
      </c>
      <c r="L94" s="84" t="s">
        <v>149</v>
      </c>
      <c r="M94" s="23" t="s">
        <v>150</v>
      </c>
      <c r="N94" s="84" t="s">
        <v>149</v>
      </c>
      <c r="O94" s="162" t="s">
        <v>41</v>
      </c>
      <c r="P94" s="163" t="s">
        <v>41</v>
      </c>
      <c r="Q94" s="163" t="s">
        <v>41</v>
      </c>
      <c r="R94" s="60" t="s">
        <v>149</v>
      </c>
      <c r="S94" s="78" t="s">
        <v>149</v>
      </c>
      <c r="T94" s="128" t="s">
        <v>149</v>
      </c>
      <c r="U94" s="31" t="s">
        <v>149</v>
      </c>
      <c r="V94" s="23" t="s">
        <v>149</v>
      </c>
      <c r="W94" s="26" t="s">
        <v>149</v>
      </c>
    </row>
    <row r="95" spans="2:23" ht="13.2">
      <c r="B95" s="83" t="s">
        <v>12</v>
      </c>
      <c r="C95" s="84" t="s">
        <v>11</v>
      </c>
      <c r="D95" s="84" t="s">
        <v>323</v>
      </c>
      <c r="E95" s="166" t="s">
        <v>396</v>
      </c>
      <c r="F95" s="99" t="s">
        <v>400</v>
      </c>
      <c r="G95" s="99" t="s">
        <v>405</v>
      </c>
      <c r="H95" s="84" t="s">
        <v>410</v>
      </c>
      <c r="I95" s="137">
        <v>46048</v>
      </c>
      <c r="J95" s="85" t="s">
        <v>425</v>
      </c>
      <c r="K95" s="161" t="s">
        <v>149</v>
      </c>
      <c r="L95" s="84" t="s">
        <v>149</v>
      </c>
      <c r="M95" s="23" t="s">
        <v>150</v>
      </c>
      <c r="N95" s="84" t="s">
        <v>149</v>
      </c>
      <c r="O95" s="162" t="s">
        <v>41</v>
      </c>
      <c r="P95" s="163" t="s">
        <v>41</v>
      </c>
      <c r="Q95" s="163" t="s">
        <v>41</v>
      </c>
      <c r="R95" s="60" t="s">
        <v>149</v>
      </c>
      <c r="S95" s="78" t="s">
        <v>149</v>
      </c>
      <c r="T95" s="128" t="s">
        <v>149</v>
      </c>
      <c r="U95" s="31" t="s">
        <v>149</v>
      </c>
      <c r="V95" s="23" t="s">
        <v>149</v>
      </c>
      <c r="W95" s="26" t="s">
        <v>149</v>
      </c>
    </row>
    <row r="96" spans="2:23" ht="13.2">
      <c r="B96" s="83" t="s">
        <v>12</v>
      </c>
      <c r="C96" s="84" t="s">
        <v>11</v>
      </c>
      <c r="D96" s="84" t="s">
        <v>324</v>
      </c>
      <c r="E96" s="166" t="s">
        <v>396</v>
      </c>
      <c r="F96" s="99" t="s">
        <v>400</v>
      </c>
      <c r="G96" s="99" t="s">
        <v>405</v>
      </c>
      <c r="H96" s="84" t="s">
        <v>410</v>
      </c>
      <c r="I96" s="137">
        <v>46048</v>
      </c>
      <c r="J96" s="85" t="s">
        <v>425</v>
      </c>
      <c r="K96" s="161" t="s">
        <v>149</v>
      </c>
      <c r="L96" s="84" t="s">
        <v>149</v>
      </c>
      <c r="M96" s="23" t="s">
        <v>150</v>
      </c>
      <c r="N96" s="84" t="s">
        <v>149</v>
      </c>
      <c r="O96" s="162" t="s">
        <v>41</v>
      </c>
      <c r="P96" s="163" t="s">
        <v>41</v>
      </c>
      <c r="Q96" s="163" t="s">
        <v>41</v>
      </c>
      <c r="R96" s="60" t="s">
        <v>149</v>
      </c>
      <c r="S96" s="78" t="s">
        <v>149</v>
      </c>
      <c r="T96" s="128" t="s">
        <v>149</v>
      </c>
      <c r="U96" s="31" t="s">
        <v>149</v>
      </c>
      <c r="V96" s="23" t="s">
        <v>149</v>
      </c>
      <c r="W96" s="26" t="s">
        <v>149</v>
      </c>
    </row>
    <row r="97" spans="2:23" ht="13.2">
      <c r="B97" s="83" t="s">
        <v>12</v>
      </c>
      <c r="C97" s="84" t="s">
        <v>11</v>
      </c>
      <c r="D97" s="84" t="s">
        <v>325</v>
      </c>
      <c r="E97" s="166" t="s">
        <v>396</v>
      </c>
      <c r="F97" s="99" t="s">
        <v>400</v>
      </c>
      <c r="G97" s="99" t="s">
        <v>405</v>
      </c>
      <c r="H97" s="84" t="s">
        <v>410</v>
      </c>
      <c r="I97" s="137">
        <v>46048</v>
      </c>
      <c r="J97" s="85" t="s">
        <v>425</v>
      </c>
      <c r="K97" s="161" t="s">
        <v>149</v>
      </c>
      <c r="L97" s="84" t="s">
        <v>149</v>
      </c>
      <c r="M97" s="23" t="s">
        <v>150</v>
      </c>
      <c r="N97" s="84" t="s">
        <v>149</v>
      </c>
      <c r="O97" s="162" t="s">
        <v>41</v>
      </c>
      <c r="P97" s="163" t="s">
        <v>41</v>
      </c>
      <c r="Q97" s="163" t="s">
        <v>41</v>
      </c>
      <c r="R97" s="60" t="s">
        <v>149</v>
      </c>
      <c r="S97" s="78" t="s">
        <v>149</v>
      </c>
      <c r="T97" s="128" t="s">
        <v>149</v>
      </c>
      <c r="U97" s="31" t="s">
        <v>149</v>
      </c>
      <c r="V97" s="23" t="s">
        <v>149</v>
      </c>
      <c r="W97" s="26" t="s">
        <v>149</v>
      </c>
    </row>
    <row r="98" spans="2:23" ht="13.2">
      <c r="B98" s="83" t="s">
        <v>12</v>
      </c>
      <c r="C98" s="84" t="s">
        <v>11</v>
      </c>
      <c r="D98" s="84" t="s">
        <v>326</v>
      </c>
      <c r="E98" s="166" t="s">
        <v>396</v>
      </c>
      <c r="F98" s="99" t="s">
        <v>400</v>
      </c>
      <c r="G98" s="99" t="s">
        <v>405</v>
      </c>
      <c r="H98" s="84" t="s">
        <v>410</v>
      </c>
      <c r="I98" s="137">
        <v>46041</v>
      </c>
      <c r="J98" s="85" t="s">
        <v>425</v>
      </c>
      <c r="K98" s="161" t="s">
        <v>149</v>
      </c>
      <c r="L98" s="84" t="s">
        <v>149</v>
      </c>
      <c r="M98" s="23" t="s">
        <v>150</v>
      </c>
      <c r="N98" s="84" t="s">
        <v>149</v>
      </c>
      <c r="O98" s="162" t="s">
        <v>41</v>
      </c>
      <c r="P98" s="163" t="s">
        <v>41</v>
      </c>
      <c r="Q98" s="163" t="s">
        <v>41</v>
      </c>
      <c r="R98" s="60" t="s">
        <v>149</v>
      </c>
      <c r="S98" s="78" t="s">
        <v>149</v>
      </c>
      <c r="T98" s="128" t="s">
        <v>149</v>
      </c>
      <c r="U98" s="31" t="s">
        <v>149</v>
      </c>
      <c r="V98" s="23" t="s">
        <v>149</v>
      </c>
      <c r="W98" s="26" t="s">
        <v>149</v>
      </c>
    </row>
    <row r="99" spans="2:23" ht="13.2">
      <c r="B99" s="83" t="s">
        <v>12</v>
      </c>
      <c r="C99" s="84" t="s">
        <v>11</v>
      </c>
      <c r="D99" s="84" t="s">
        <v>327</v>
      </c>
      <c r="E99" s="166" t="s">
        <v>396</v>
      </c>
      <c r="F99" s="99" t="s">
        <v>400</v>
      </c>
      <c r="G99" s="99" t="s">
        <v>405</v>
      </c>
      <c r="H99" s="84" t="s">
        <v>410</v>
      </c>
      <c r="I99" s="137">
        <v>46041</v>
      </c>
      <c r="J99" s="85" t="s">
        <v>425</v>
      </c>
      <c r="K99" s="161" t="s">
        <v>149</v>
      </c>
      <c r="L99" s="84" t="s">
        <v>149</v>
      </c>
      <c r="M99" s="23" t="s">
        <v>150</v>
      </c>
      <c r="N99" s="84" t="s">
        <v>149</v>
      </c>
      <c r="O99" s="162" t="s">
        <v>41</v>
      </c>
      <c r="P99" s="163" t="s">
        <v>41</v>
      </c>
      <c r="Q99" s="163" t="s">
        <v>41</v>
      </c>
      <c r="R99" s="60" t="s">
        <v>149</v>
      </c>
      <c r="S99" s="78" t="s">
        <v>149</v>
      </c>
      <c r="T99" s="128" t="s">
        <v>149</v>
      </c>
      <c r="U99" s="31" t="s">
        <v>149</v>
      </c>
      <c r="V99" s="23" t="s">
        <v>149</v>
      </c>
      <c r="W99" s="26" t="s">
        <v>149</v>
      </c>
    </row>
    <row r="100" spans="2:23" ht="13.2">
      <c r="B100" s="83" t="s">
        <v>12</v>
      </c>
      <c r="C100" s="84" t="s">
        <v>11</v>
      </c>
      <c r="D100" s="84" t="s">
        <v>328</v>
      </c>
      <c r="E100" s="166" t="s">
        <v>396</v>
      </c>
      <c r="F100" s="99" t="s">
        <v>400</v>
      </c>
      <c r="G100" s="99" t="s">
        <v>405</v>
      </c>
      <c r="H100" s="84" t="s">
        <v>410</v>
      </c>
      <c r="I100" s="137">
        <v>46048</v>
      </c>
      <c r="J100" s="85" t="s">
        <v>425</v>
      </c>
      <c r="K100" s="161" t="s">
        <v>149</v>
      </c>
      <c r="L100" s="84" t="s">
        <v>149</v>
      </c>
      <c r="M100" s="23" t="s">
        <v>150</v>
      </c>
      <c r="N100" s="84" t="s">
        <v>149</v>
      </c>
      <c r="O100" s="162" t="s">
        <v>41</v>
      </c>
      <c r="P100" s="163" t="s">
        <v>41</v>
      </c>
      <c r="Q100" s="163" t="s">
        <v>41</v>
      </c>
      <c r="R100" s="60" t="s">
        <v>149</v>
      </c>
      <c r="S100" s="78" t="s">
        <v>149</v>
      </c>
      <c r="T100" s="128" t="s">
        <v>149</v>
      </c>
      <c r="U100" s="31" t="s">
        <v>149</v>
      </c>
      <c r="V100" s="23" t="s">
        <v>149</v>
      </c>
      <c r="W100" s="26" t="s">
        <v>149</v>
      </c>
    </row>
    <row r="101" spans="2:23" ht="13.2">
      <c r="B101" s="83" t="s">
        <v>12</v>
      </c>
      <c r="C101" s="84" t="s">
        <v>11</v>
      </c>
      <c r="D101" s="84" t="s">
        <v>329</v>
      </c>
      <c r="E101" s="166" t="s">
        <v>396</v>
      </c>
      <c r="F101" s="99" t="s">
        <v>400</v>
      </c>
      <c r="G101" s="99" t="s">
        <v>405</v>
      </c>
      <c r="H101" s="84" t="s">
        <v>410</v>
      </c>
      <c r="I101" s="137">
        <v>46048</v>
      </c>
      <c r="J101" s="85" t="s">
        <v>425</v>
      </c>
      <c r="K101" s="161" t="s">
        <v>149</v>
      </c>
      <c r="L101" s="84" t="s">
        <v>149</v>
      </c>
      <c r="M101" s="23" t="s">
        <v>150</v>
      </c>
      <c r="N101" s="84" t="s">
        <v>149</v>
      </c>
      <c r="O101" s="162" t="s">
        <v>41</v>
      </c>
      <c r="P101" s="163" t="s">
        <v>41</v>
      </c>
      <c r="Q101" s="163" t="s">
        <v>41</v>
      </c>
      <c r="R101" s="60" t="s">
        <v>149</v>
      </c>
      <c r="S101" s="78" t="s">
        <v>149</v>
      </c>
      <c r="T101" s="128" t="s">
        <v>149</v>
      </c>
      <c r="U101" s="31" t="s">
        <v>149</v>
      </c>
      <c r="V101" s="23" t="s">
        <v>149</v>
      </c>
      <c r="W101" s="26" t="s">
        <v>149</v>
      </c>
    </row>
    <row r="102" spans="2:23" ht="13.2">
      <c r="B102" s="83" t="s">
        <v>12</v>
      </c>
      <c r="C102" s="84" t="s">
        <v>11</v>
      </c>
      <c r="D102" s="84" t="s">
        <v>330</v>
      </c>
      <c r="E102" s="166" t="s">
        <v>396</v>
      </c>
      <c r="F102" s="99" t="s">
        <v>400</v>
      </c>
      <c r="G102" s="99" t="s">
        <v>405</v>
      </c>
      <c r="H102" s="84" t="s">
        <v>410</v>
      </c>
      <c r="I102" s="137">
        <v>46048</v>
      </c>
      <c r="J102" s="85" t="s">
        <v>425</v>
      </c>
      <c r="K102" s="161" t="s">
        <v>149</v>
      </c>
      <c r="L102" s="84" t="s">
        <v>149</v>
      </c>
      <c r="M102" s="23" t="s">
        <v>150</v>
      </c>
      <c r="N102" s="84" t="s">
        <v>149</v>
      </c>
      <c r="O102" s="162" t="s">
        <v>41</v>
      </c>
      <c r="P102" s="163" t="s">
        <v>41</v>
      </c>
      <c r="Q102" s="163" t="s">
        <v>41</v>
      </c>
      <c r="R102" s="60" t="s">
        <v>149</v>
      </c>
      <c r="S102" s="78" t="s">
        <v>149</v>
      </c>
      <c r="T102" s="128" t="s">
        <v>149</v>
      </c>
      <c r="U102" s="31" t="s">
        <v>149</v>
      </c>
      <c r="V102" s="23" t="s">
        <v>149</v>
      </c>
      <c r="W102" s="26" t="s">
        <v>149</v>
      </c>
    </row>
    <row r="103" spans="2:23" ht="13.2">
      <c r="B103" s="83" t="s">
        <v>12</v>
      </c>
      <c r="C103" s="84" t="s">
        <v>11</v>
      </c>
      <c r="D103" s="84" t="s">
        <v>331</v>
      </c>
      <c r="E103" s="166" t="s">
        <v>396</v>
      </c>
      <c r="F103" s="99" t="s">
        <v>400</v>
      </c>
      <c r="G103" s="99" t="s">
        <v>405</v>
      </c>
      <c r="H103" s="84" t="s">
        <v>410</v>
      </c>
      <c r="I103" s="137">
        <v>46041</v>
      </c>
      <c r="J103" s="85" t="s">
        <v>425</v>
      </c>
      <c r="K103" s="161" t="s">
        <v>149</v>
      </c>
      <c r="L103" s="84" t="s">
        <v>149</v>
      </c>
      <c r="M103" s="23" t="s">
        <v>150</v>
      </c>
      <c r="N103" s="84" t="s">
        <v>149</v>
      </c>
      <c r="O103" s="162" t="s">
        <v>41</v>
      </c>
      <c r="P103" s="163" t="s">
        <v>41</v>
      </c>
      <c r="Q103" s="163" t="s">
        <v>41</v>
      </c>
      <c r="R103" s="60" t="s">
        <v>149</v>
      </c>
      <c r="S103" s="78" t="s">
        <v>149</v>
      </c>
      <c r="T103" s="128" t="s">
        <v>149</v>
      </c>
      <c r="U103" s="31" t="s">
        <v>149</v>
      </c>
      <c r="V103" s="23" t="s">
        <v>149</v>
      </c>
      <c r="W103" s="26" t="s">
        <v>149</v>
      </c>
    </row>
    <row r="104" spans="2:23" ht="13.2">
      <c r="B104" s="83" t="s">
        <v>12</v>
      </c>
      <c r="C104" s="84" t="s">
        <v>11</v>
      </c>
      <c r="D104" s="84" t="s">
        <v>332</v>
      </c>
      <c r="E104" s="166" t="s">
        <v>396</v>
      </c>
      <c r="F104" s="99" t="s">
        <v>400</v>
      </c>
      <c r="G104" s="99" t="s">
        <v>405</v>
      </c>
      <c r="H104" s="84" t="s">
        <v>410</v>
      </c>
      <c r="I104" s="137">
        <v>46041</v>
      </c>
      <c r="J104" s="85" t="s">
        <v>425</v>
      </c>
      <c r="K104" s="161" t="s">
        <v>149</v>
      </c>
      <c r="L104" s="84" t="s">
        <v>149</v>
      </c>
      <c r="M104" s="23" t="s">
        <v>150</v>
      </c>
      <c r="N104" s="84" t="s">
        <v>149</v>
      </c>
      <c r="O104" s="162" t="s">
        <v>41</v>
      </c>
      <c r="P104" s="163" t="s">
        <v>41</v>
      </c>
      <c r="Q104" s="163" t="s">
        <v>41</v>
      </c>
      <c r="R104" s="60" t="s">
        <v>149</v>
      </c>
      <c r="S104" s="78" t="s">
        <v>149</v>
      </c>
      <c r="T104" s="128" t="s">
        <v>149</v>
      </c>
      <c r="U104" s="31" t="s">
        <v>149</v>
      </c>
      <c r="V104" s="23" t="s">
        <v>149</v>
      </c>
      <c r="W104" s="26" t="s">
        <v>149</v>
      </c>
    </row>
    <row r="105" spans="2:23" ht="13.2">
      <c r="B105" s="83" t="s">
        <v>12</v>
      </c>
      <c r="C105" s="84" t="s">
        <v>11</v>
      </c>
      <c r="D105" s="84" t="s">
        <v>333</v>
      </c>
      <c r="E105" s="166" t="s">
        <v>396</v>
      </c>
      <c r="F105" s="99" t="s">
        <v>400</v>
      </c>
      <c r="G105" s="99" t="s">
        <v>405</v>
      </c>
      <c r="H105" s="84" t="s">
        <v>410</v>
      </c>
      <c r="I105" s="137">
        <v>46041</v>
      </c>
      <c r="J105" s="85" t="s">
        <v>425</v>
      </c>
      <c r="K105" s="161" t="s">
        <v>149</v>
      </c>
      <c r="L105" s="84" t="s">
        <v>149</v>
      </c>
      <c r="M105" s="23" t="s">
        <v>150</v>
      </c>
      <c r="N105" s="84" t="s">
        <v>149</v>
      </c>
      <c r="O105" s="162" t="s">
        <v>41</v>
      </c>
      <c r="P105" s="163" t="s">
        <v>41</v>
      </c>
      <c r="Q105" s="163" t="s">
        <v>41</v>
      </c>
      <c r="R105" s="60" t="s">
        <v>149</v>
      </c>
      <c r="S105" s="78" t="s">
        <v>149</v>
      </c>
      <c r="T105" s="128" t="s">
        <v>149</v>
      </c>
      <c r="U105" s="31" t="s">
        <v>149</v>
      </c>
      <c r="V105" s="23" t="s">
        <v>149</v>
      </c>
      <c r="W105" s="26" t="s">
        <v>149</v>
      </c>
    </row>
    <row r="106" spans="2:23" ht="13.2">
      <c r="B106" s="83" t="s">
        <v>12</v>
      </c>
      <c r="C106" s="84" t="s">
        <v>11</v>
      </c>
      <c r="D106" s="84" t="s">
        <v>334</v>
      </c>
      <c r="E106" s="166" t="s">
        <v>396</v>
      </c>
      <c r="F106" s="99" t="s">
        <v>400</v>
      </c>
      <c r="G106" s="99" t="s">
        <v>405</v>
      </c>
      <c r="H106" s="84" t="s">
        <v>410</v>
      </c>
      <c r="I106" s="137">
        <v>46041</v>
      </c>
      <c r="J106" s="85" t="s">
        <v>425</v>
      </c>
      <c r="K106" s="161" t="s">
        <v>149</v>
      </c>
      <c r="L106" s="84" t="s">
        <v>149</v>
      </c>
      <c r="M106" s="23" t="s">
        <v>150</v>
      </c>
      <c r="N106" s="84" t="s">
        <v>149</v>
      </c>
      <c r="O106" s="162" t="s">
        <v>41</v>
      </c>
      <c r="P106" s="163" t="s">
        <v>41</v>
      </c>
      <c r="Q106" s="163" t="s">
        <v>41</v>
      </c>
      <c r="R106" s="60" t="s">
        <v>149</v>
      </c>
      <c r="S106" s="78" t="s">
        <v>149</v>
      </c>
      <c r="T106" s="128" t="s">
        <v>149</v>
      </c>
      <c r="U106" s="31" t="s">
        <v>149</v>
      </c>
      <c r="V106" s="23" t="s">
        <v>149</v>
      </c>
      <c r="W106" s="26" t="s">
        <v>149</v>
      </c>
    </row>
    <row r="107" spans="2:23" ht="13.2">
      <c r="B107" s="83" t="s">
        <v>12</v>
      </c>
      <c r="C107" s="84" t="s">
        <v>11</v>
      </c>
      <c r="D107" s="84" t="s">
        <v>247</v>
      </c>
      <c r="E107" s="166" t="s">
        <v>396</v>
      </c>
      <c r="F107" s="99" t="s">
        <v>400</v>
      </c>
      <c r="G107" s="99" t="s">
        <v>405</v>
      </c>
      <c r="H107" s="84" t="s">
        <v>410</v>
      </c>
      <c r="I107" s="137">
        <v>46034</v>
      </c>
      <c r="J107" s="85" t="s">
        <v>425</v>
      </c>
      <c r="K107" s="161" t="s">
        <v>149</v>
      </c>
      <c r="L107" s="84" t="s">
        <v>149</v>
      </c>
      <c r="M107" s="23" t="s">
        <v>150</v>
      </c>
      <c r="N107" s="84" t="s">
        <v>149</v>
      </c>
      <c r="O107" s="162" t="s">
        <v>41</v>
      </c>
      <c r="P107" s="163" t="s">
        <v>41</v>
      </c>
      <c r="Q107" s="163" t="s">
        <v>41</v>
      </c>
      <c r="R107" s="60" t="s">
        <v>149</v>
      </c>
      <c r="S107" s="78" t="s">
        <v>149</v>
      </c>
      <c r="T107" s="128" t="s">
        <v>149</v>
      </c>
      <c r="U107" s="31" t="s">
        <v>149</v>
      </c>
      <c r="V107" s="23" t="s">
        <v>149</v>
      </c>
      <c r="W107" s="26" t="s">
        <v>149</v>
      </c>
    </row>
    <row r="108" spans="2:23" ht="13.2">
      <c r="B108" s="83" t="s">
        <v>12</v>
      </c>
      <c r="C108" s="84" t="s">
        <v>11</v>
      </c>
      <c r="D108" s="84" t="s">
        <v>335</v>
      </c>
      <c r="E108" s="166" t="s">
        <v>396</v>
      </c>
      <c r="F108" s="99" t="s">
        <v>400</v>
      </c>
      <c r="G108" s="99" t="s">
        <v>405</v>
      </c>
      <c r="H108" s="84" t="s">
        <v>410</v>
      </c>
      <c r="I108" s="137">
        <v>46034</v>
      </c>
      <c r="J108" s="85" t="s">
        <v>425</v>
      </c>
      <c r="K108" s="161" t="s">
        <v>149</v>
      </c>
      <c r="L108" s="84" t="s">
        <v>149</v>
      </c>
      <c r="M108" s="23" t="s">
        <v>150</v>
      </c>
      <c r="N108" s="84" t="s">
        <v>149</v>
      </c>
      <c r="O108" s="162" t="s">
        <v>41</v>
      </c>
      <c r="P108" s="163" t="s">
        <v>41</v>
      </c>
      <c r="Q108" s="163" t="s">
        <v>41</v>
      </c>
      <c r="R108" s="60" t="s">
        <v>149</v>
      </c>
      <c r="S108" s="78" t="s">
        <v>149</v>
      </c>
      <c r="T108" s="128" t="s">
        <v>149</v>
      </c>
      <c r="U108" s="31" t="s">
        <v>149</v>
      </c>
      <c r="V108" s="23" t="s">
        <v>149</v>
      </c>
      <c r="W108" s="26" t="s">
        <v>149</v>
      </c>
    </row>
    <row r="109" spans="2:23" ht="13.2">
      <c r="B109" s="83" t="s">
        <v>12</v>
      </c>
      <c r="C109" s="84" t="s">
        <v>11</v>
      </c>
      <c r="D109" s="84" t="s">
        <v>336</v>
      </c>
      <c r="E109" s="166" t="s">
        <v>396</v>
      </c>
      <c r="F109" s="99" t="s">
        <v>400</v>
      </c>
      <c r="G109" s="99" t="s">
        <v>405</v>
      </c>
      <c r="H109" s="84" t="s">
        <v>410</v>
      </c>
      <c r="I109" s="137">
        <v>46034</v>
      </c>
      <c r="J109" s="85" t="s">
        <v>425</v>
      </c>
      <c r="K109" s="161" t="s">
        <v>149</v>
      </c>
      <c r="L109" s="84" t="s">
        <v>149</v>
      </c>
      <c r="M109" s="23" t="s">
        <v>150</v>
      </c>
      <c r="N109" s="84" t="s">
        <v>149</v>
      </c>
      <c r="O109" s="162" t="s">
        <v>41</v>
      </c>
      <c r="P109" s="163" t="s">
        <v>41</v>
      </c>
      <c r="Q109" s="163" t="s">
        <v>41</v>
      </c>
      <c r="R109" s="60" t="s">
        <v>149</v>
      </c>
      <c r="S109" s="78" t="s">
        <v>149</v>
      </c>
      <c r="T109" s="128" t="s">
        <v>149</v>
      </c>
      <c r="U109" s="31" t="s">
        <v>149</v>
      </c>
      <c r="V109" s="23" t="s">
        <v>149</v>
      </c>
      <c r="W109" s="26" t="s">
        <v>149</v>
      </c>
    </row>
    <row r="110" spans="2:23" ht="13.2">
      <c r="B110" s="83" t="s">
        <v>12</v>
      </c>
      <c r="C110" s="84" t="s">
        <v>11</v>
      </c>
      <c r="D110" s="84" t="s">
        <v>249</v>
      </c>
      <c r="E110" s="166" t="s">
        <v>396</v>
      </c>
      <c r="F110" s="99" t="s">
        <v>400</v>
      </c>
      <c r="G110" s="99" t="s">
        <v>405</v>
      </c>
      <c r="H110" s="84" t="s">
        <v>410</v>
      </c>
      <c r="I110" s="137">
        <v>46034</v>
      </c>
      <c r="J110" s="85" t="s">
        <v>425</v>
      </c>
      <c r="K110" s="161" t="s">
        <v>149</v>
      </c>
      <c r="L110" s="84" t="s">
        <v>149</v>
      </c>
      <c r="M110" s="23" t="s">
        <v>150</v>
      </c>
      <c r="N110" s="84" t="s">
        <v>149</v>
      </c>
      <c r="O110" s="162" t="s">
        <v>41</v>
      </c>
      <c r="P110" s="163" t="s">
        <v>41</v>
      </c>
      <c r="Q110" s="163" t="s">
        <v>41</v>
      </c>
      <c r="R110" s="60" t="s">
        <v>149</v>
      </c>
      <c r="S110" s="78" t="s">
        <v>149</v>
      </c>
      <c r="T110" s="128" t="s">
        <v>149</v>
      </c>
      <c r="U110" s="31" t="s">
        <v>149</v>
      </c>
      <c r="V110" s="23" t="s">
        <v>149</v>
      </c>
      <c r="W110" s="26" t="s">
        <v>149</v>
      </c>
    </row>
    <row r="111" spans="2:23" ht="13.2">
      <c r="B111" s="83" t="s">
        <v>12</v>
      </c>
      <c r="C111" s="84" t="s">
        <v>11</v>
      </c>
      <c r="D111" s="84" t="s">
        <v>337</v>
      </c>
      <c r="E111" s="166" t="s">
        <v>396</v>
      </c>
      <c r="F111" s="99" t="s">
        <v>400</v>
      </c>
      <c r="G111" s="99" t="s">
        <v>405</v>
      </c>
      <c r="H111" s="84" t="s">
        <v>410</v>
      </c>
      <c r="I111" s="137">
        <v>46034</v>
      </c>
      <c r="J111" s="85" t="s">
        <v>425</v>
      </c>
      <c r="K111" s="161" t="s">
        <v>149</v>
      </c>
      <c r="L111" s="84" t="s">
        <v>149</v>
      </c>
      <c r="M111" s="23" t="s">
        <v>150</v>
      </c>
      <c r="N111" s="84" t="s">
        <v>149</v>
      </c>
      <c r="O111" s="162" t="s">
        <v>41</v>
      </c>
      <c r="P111" s="163" t="s">
        <v>41</v>
      </c>
      <c r="Q111" s="163" t="s">
        <v>41</v>
      </c>
      <c r="R111" s="60" t="s">
        <v>149</v>
      </c>
      <c r="S111" s="78" t="s">
        <v>149</v>
      </c>
      <c r="T111" s="128" t="s">
        <v>149</v>
      </c>
      <c r="U111" s="31" t="s">
        <v>149</v>
      </c>
      <c r="V111" s="23" t="s">
        <v>149</v>
      </c>
      <c r="W111" s="26" t="s">
        <v>149</v>
      </c>
    </row>
    <row r="112" spans="2:23" ht="13.2">
      <c r="B112" s="83" t="s">
        <v>12</v>
      </c>
      <c r="C112" s="84" t="s">
        <v>11</v>
      </c>
      <c r="D112" s="84" t="s">
        <v>338</v>
      </c>
      <c r="E112" s="166" t="s">
        <v>396</v>
      </c>
      <c r="F112" s="99" t="s">
        <v>400</v>
      </c>
      <c r="G112" s="99" t="s">
        <v>405</v>
      </c>
      <c r="H112" s="84" t="s">
        <v>410</v>
      </c>
      <c r="I112" s="137">
        <v>46055</v>
      </c>
      <c r="J112" s="85" t="s">
        <v>425</v>
      </c>
      <c r="K112" s="161" t="s">
        <v>149</v>
      </c>
      <c r="L112" s="84" t="s">
        <v>149</v>
      </c>
      <c r="M112" s="23" t="s">
        <v>150</v>
      </c>
      <c r="N112" s="84" t="s">
        <v>149</v>
      </c>
      <c r="O112" s="162" t="s">
        <v>41</v>
      </c>
      <c r="P112" s="163" t="s">
        <v>41</v>
      </c>
      <c r="Q112" s="163" t="s">
        <v>41</v>
      </c>
      <c r="R112" s="60" t="s">
        <v>149</v>
      </c>
      <c r="S112" s="78" t="s">
        <v>149</v>
      </c>
      <c r="T112" s="128" t="s">
        <v>149</v>
      </c>
      <c r="U112" s="31" t="s">
        <v>149</v>
      </c>
      <c r="V112" s="23" t="s">
        <v>149</v>
      </c>
      <c r="W112" s="26" t="s">
        <v>149</v>
      </c>
    </row>
    <row r="113" spans="2:23" ht="13.2">
      <c r="B113" s="83" t="s">
        <v>12</v>
      </c>
      <c r="C113" s="84" t="s">
        <v>11</v>
      </c>
      <c r="D113" s="84" t="s">
        <v>339</v>
      </c>
      <c r="E113" s="166" t="s">
        <v>396</v>
      </c>
      <c r="F113" s="99" t="s">
        <v>400</v>
      </c>
      <c r="G113" s="99" t="s">
        <v>405</v>
      </c>
      <c r="H113" s="84" t="s">
        <v>410</v>
      </c>
      <c r="I113" s="137">
        <v>46055</v>
      </c>
      <c r="J113" s="85" t="s">
        <v>425</v>
      </c>
      <c r="K113" s="161" t="s">
        <v>149</v>
      </c>
      <c r="L113" s="84" t="s">
        <v>149</v>
      </c>
      <c r="M113" s="23" t="s">
        <v>150</v>
      </c>
      <c r="N113" s="84" t="s">
        <v>149</v>
      </c>
      <c r="O113" s="162" t="s">
        <v>41</v>
      </c>
      <c r="P113" s="163" t="s">
        <v>41</v>
      </c>
      <c r="Q113" s="163" t="s">
        <v>41</v>
      </c>
      <c r="R113" s="60" t="s">
        <v>149</v>
      </c>
      <c r="S113" s="78" t="s">
        <v>149</v>
      </c>
      <c r="T113" s="128" t="s">
        <v>149</v>
      </c>
      <c r="U113" s="31" t="s">
        <v>149</v>
      </c>
      <c r="V113" s="23" t="s">
        <v>149</v>
      </c>
      <c r="W113" s="26" t="s">
        <v>149</v>
      </c>
    </row>
    <row r="114" spans="2:23" ht="13.2">
      <c r="B114" s="83" t="s">
        <v>12</v>
      </c>
      <c r="C114" s="84" t="s">
        <v>11</v>
      </c>
      <c r="D114" s="84" t="s">
        <v>340</v>
      </c>
      <c r="E114" s="166" t="s">
        <v>396</v>
      </c>
      <c r="F114" s="99" t="s">
        <v>400</v>
      </c>
      <c r="G114" s="99" t="s">
        <v>405</v>
      </c>
      <c r="H114" s="84" t="s">
        <v>410</v>
      </c>
      <c r="I114" s="137">
        <v>46048</v>
      </c>
      <c r="J114" s="85" t="s">
        <v>425</v>
      </c>
      <c r="K114" s="161" t="s">
        <v>149</v>
      </c>
      <c r="L114" s="84" t="s">
        <v>149</v>
      </c>
      <c r="M114" s="23" t="s">
        <v>150</v>
      </c>
      <c r="N114" s="84" t="s">
        <v>149</v>
      </c>
      <c r="O114" s="162" t="s">
        <v>41</v>
      </c>
      <c r="P114" s="163" t="s">
        <v>41</v>
      </c>
      <c r="Q114" s="163" t="s">
        <v>41</v>
      </c>
      <c r="R114" s="60" t="s">
        <v>149</v>
      </c>
      <c r="S114" s="78" t="s">
        <v>149</v>
      </c>
      <c r="T114" s="128" t="s">
        <v>149</v>
      </c>
      <c r="U114" s="31" t="s">
        <v>149</v>
      </c>
      <c r="V114" s="23" t="s">
        <v>149</v>
      </c>
      <c r="W114" s="26" t="s">
        <v>149</v>
      </c>
    </row>
    <row r="115" spans="2:23" ht="13.2">
      <c r="B115" s="83" t="s">
        <v>12</v>
      </c>
      <c r="C115" s="84" t="s">
        <v>11</v>
      </c>
      <c r="D115" s="84" t="s">
        <v>251</v>
      </c>
      <c r="E115" s="166" t="s">
        <v>396</v>
      </c>
      <c r="F115" s="99" t="s">
        <v>400</v>
      </c>
      <c r="G115" s="99" t="s">
        <v>405</v>
      </c>
      <c r="H115" s="84" t="s">
        <v>410</v>
      </c>
      <c r="I115" s="137">
        <v>46048</v>
      </c>
      <c r="J115" s="85" t="s">
        <v>425</v>
      </c>
      <c r="K115" s="161" t="s">
        <v>149</v>
      </c>
      <c r="L115" s="84" t="s">
        <v>149</v>
      </c>
      <c r="M115" s="23" t="s">
        <v>150</v>
      </c>
      <c r="N115" s="84" t="s">
        <v>149</v>
      </c>
      <c r="O115" s="162" t="s">
        <v>41</v>
      </c>
      <c r="P115" s="163" t="s">
        <v>41</v>
      </c>
      <c r="Q115" s="163" t="s">
        <v>41</v>
      </c>
      <c r="R115" s="60" t="s">
        <v>149</v>
      </c>
      <c r="S115" s="78" t="s">
        <v>149</v>
      </c>
      <c r="T115" s="128" t="s">
        <v>149</v>
      </c>
      <c r="U115" s="31" t="s">
        <v>149</v>
      </c>
      <c r="V115" s="23" t="s">
        <v>149</v>
      </c>
      <c r="W115" s="26" t="s">
        <v>149</v>
      </c>
    </row>
    <row r="116" spans="2:23" ht="13.2">
      <c r="B116" s="83" t="s">
        <v>12</v>
      </c>
      <c r="C116" s="84" t="s">
        <v>11</v>
      </c>
      <c r="D116" s="84" t="s">
        <v>341</v>
      </c>
      <c r="E116" s="166" t="s">
        <v>396</v>
      </c>
      <c r="F116" s="99" t="s">
        <v>400</v>
      </c>
      <c r="G116" s="99" t="s">
        <v>405</v>
      </c>
      <c r="H116" s="84" t="s">
        <v>410</v>
      </c>
      <c r="I116" s="137">
        <v>46048</v>
      </c>
      <c r="J116" s="85" t="s">
        <v>425</v>
      </c>
      <c r="K116" s="161" t="s">
        <v>149</v>
      </c>
      <c r="L116" s="84" t="s">
        <v>149</v>
      </c>
      <c r="M116" s="23" t="s">
        <v>150</v>
      </c>
      <c r="N116" s="84" t="s">
        <v>149</v>
      </c>
      <c r="O116" s="162" t="s">
        <v>41</v>
      </c>
      <c r="P116" s="163" t="s">
        <v>41</v>
      </c>
      <c r="Q116" s="163" t="s">
        <v>41</v>
      </c>
      <c r="R116" s="60" t="s">
        <v>149</v>
      </c>
      <c r="S116" s="78" t="s">
        <v>149</v>
      </c>
      <c r="T116" s="128" t="s">
        <v>149</v>
      </c>
      <c r="U116" s="31" t="s">
        <v>149</v>
      </c>
      <c r="V116" s="23" t="s">
        <v>149</v>
      </c>
      <c r="W116" s="26" t="s">
        <v>149</v>
      </c>
    </row>
    <row r="117" spans="2:23" ht="13.2">
      <c r="B117" s="83" t="s">
        <v>12</v>
      </c>
      <c r="C117" s="84" t="s">
        <v>11</v>
      </c>
      <c r="D117" s="84" t="s">
        <v>342</v>
      </c>
      <c r="E117" s="166" t="s">
        <v>396</v>
      </c>
      <c r="F117" s="99" t="s">
        <v>400</v>
      </c>
      <c r="G117" s="99" t="s">
        <v>405</v>
      </c>
      <c r="H117" s="84" t="s">
        <v>410</v>
      </c>
      <c r="I117" s="137">
        <v>46048</v>
      </c>
      <c r="J117" s="85" t="s">
        <v>425</v>
      </c>
      <c r="K117" s="161" t="s">
        <v>149</v>
      </c>
      <c r="L117" s="84" t="s">
        <v>149</v>
      </c>
      <c r="M117" s="23" t="s">
        <v>150</v>
      </c>
      <c r="N117" s="84" t="s">
        <v>149</v>
      </c>
      <c r="O117" s="162" t="s">
        <v>41</v>
      </c>
      <c r="P117" s="163" t="s">
        <v>41</v>
      </c>
      <c r="Q117" s="163" t="s">
        <v>41</v>
      </c>
      <c r="R117" s="60" t="s">
        <v>149</v>
      </c>
      <c r="S117" s="78" t="s">
        <v>149</v>
      </c>
      <c r="T117" s="128" t="s">
        <v>149</v>
      </c>
      <c r="U117" s="31" t="s">
        <v>149</v>
      </c>
      <c r="V117" s="23" t="s">
        <v>149</v>
      </c>
      <c r="W117" s="26" t="s">
        <v>149</v>
      </c>
    </row>
    <row r="118" spans="2:23" ht="13.2">
      <c r="B118" s="83" t="s">
        <v>12</v>
      </c>
      <c r="C118" s="84" t="s">
        <v>11</v>
      </c>
      <c r="D118" s="84" t="s">
        <v>343</v>
      </c>
      <c r="E118" s="166" t="s">
        <v>396</v>
      </c>
      <c r="F118" s="99" t="s">
        <v>400</v>
      </c>
      <c r="G118" s="99" t="s">
        <v>405</v>
      </c>
      <c r="H118" s="84" t="s">
        <v>410</v>
      </c>
      <c r="I118" s="137">
        <v>46048</v>
      </c>
      <c r="J118" s="85" t="s">
        <v>425</v>
      </c>
      <c r="K118" s="161" t="s">
        <v>149</v>
      </c>
      <c r="L118" s="84" t="s">
        <v>149</v>
      </c>
      <c r="M118" s="23" t="s">
        <v>150</v>
      </c>
      <c r="N118" s="84" t="s">
        <v>149</v>
      </c>
      <c r="O118" s="162" t="s">
        <v>41</v>
      </c>
      <c r="P118" s="163" t="s">
        <v>41</v>
      </c>
      <c r="Q118" s="163" t="s">
        <v>41</v>
      </c>
      <c r="R118" s="60" t="s">
        <v>149</v>
      </c>
      <c r="S118" s="78" t="s">
        <v>149</v>
      </c>
      <c r="T118" s="128" t="s">
        <v>149</v>
      </c>
      <c r="U118" s="31" t="s">
        <v>149</v>
      </c>
      <c r="V118" s="23" t="s">
        <v>149</v>
      </c>
      <c r="W118" s="26" t="s">
        <v>149</v>
      </c>
    </row>
    <row r="119" spans="2:23" ht="13.2">
      <c r="B119" s="83" t="s">
        <v>12</v>
      </c>
      <c r="C119" s="84" t="s">
        <v>11</v>
      </c>
      <c r="D119" s="84" t="s">
        <v>344</v>
      </c>
      <c r="E119" s="166" t="s">
        <v>396</v>
      </c>
      <c r="F119" s="99" t="s">
        <v>400</v>
      </c>
      <c r="G119" s="99" t="s">
        <v>405</v>
      </c>
      <c r="H119" s="84" t="s">
        <v>410</v>
      </c>
      <c r="I119" s="137">
        <v>46048</v>
      </c>
      <c r="J119" s="85" t="s">
        <v>425</v>
      </c>
      <c r="K119" s="161" t="s">
        <v>149</v>
      </c>
      <c r="L119" s="84" t="s">
        <v>149</v>
      </c>
      <c r="M119" s="23" t="s">
        <v>150</v>
      </c>
      <c r="N119" s="84" t="s">
        <v>149</v>
      </c>
      <c r="O119" s="162" t="s">
        <v>41</v>
      </c>
      <c r="P119" s="163" t="s">
        <v>41</v>
      </c>
      <c r="Q119" s="163" t="s">
        <v>41</v>
      </c>
      <c r="R119" s="60" t="s">
        <v>149</v>
      </c>
      <c r="S119" s="78" t="s">
        <v>149</v>
      </c>
      <c r="T119" s="128" t="s">
        <v>149</v>
      </c>
      <c r="U119" s="31" t="s">
        <v>149</v>
      </c>
      <c r="V119" s="23" t="s">
        <v>149</v>
      </c>
      <c r="W119" s="26" t="s">
        <v>149</v>
      </c>
    </row>
    <row r="120" spans="2:23" ht="13.2">
      <c r="B120" s="83" t="s">
        <v>12</v>
      </c>
      <c r="C120" s="84" t="s">
        <v>11</v>
      </c>
      <c r="D120" s="84" t="s">
        <v>345</v>
      </c>
      <c r="E120" s="166" t="s">
        <v>396</v>
      </c>
      <c r="F120" s="99" t="s">
        <v>400</v>
      </c>
      <c r="G120" s="99" t="s">
        <v>405</v>
      </c>
      <c r="H120" s="84" t="s">
        <v>410</v>
      </c>
      <c r="I120" s="137">
        <v>46041</v>
      </c>
      <c r="J120" s="85" t="s">
        <v>425</v>
      </c>
      <c r="K120" s="161" t="s">
        <v>149</v>
      </c>
      <c r="L120" s="84" t="s">
        <v>149</v>
      </c>
      <c r="M120" s="23" t="s">
        <v>150</v>
      </c>
      <c r="N120" s="84" t="s">
        <v>149</v>
      </c>
      <c r="O120" s="162" t="s">
        <v>41</v>
      </c>
      <c r="P120" s="163" t="s">
        <v>41</v>
      </c>
      <c r="Q120" s="163" t="s">
        <v>41</v>
      </c>
      <c r="R120" s="60" t="s">
        <v>149</v>
      </c>
      <c r="S120" s="78" t="s">
        <v>149</v>
      </c>
      <c r="T120" s="128" t="s">
        <v>149</v>
      </c>
      <c r="U120" s="31" t="s">
        <v>149</v>
      </c>
      <c r="V120" s="23" t="s">
        <v>149</v>
      </c>
      <c r="W120" s="26" t="s">
        <v>149</v>
      </c>
    </row>
    <row r="121" spans="2:23" ht="13.2">
      <c r="B121" s="83" t="s">
        <v>12</v>
      </c>
      <c r="C121" s="84" t="s">
        <v>11</v>
      </c>
      <c r="D121" s="84" t="s">
        <v>346</v>
      </c>
      <c r="E121" s="166" t="s">
        <v>396</v>
      </c>
      <c r="F121" s="99" t="s">
        <v>400</v>
      </c>
      <c r="G121" s="99" t="s">
        <v>405</v>
      </c>
      <c r="H121" s="84" t="s">
        <v>410</v>
      </c>
      <c r="I121" s="137">
        <v>46041</v>
      </c>
      <c r="J121" s="85" t="s">
        <v>425</v>
      </c>
      <c r="K121" s="161" t="s">
        <v>149</v>
      </c>
      <c r="L121" s="84" t="s">
        <v>149</v>
      </c>
      <c r="M121" s="23" t="s">
        <v>150</v>
      </c>
      <c r="N121" s="84" t="s">
        <v>149</v>
      </c>
      <c r="O121" s="162" t="s">
        <v>41</v>
      </c>
      <c r="P121" s="163" t="s">
        <v>41</v>
      </c>
      <c r="Q121" s="163" t="s">
        <v>41</v>
      </c>
      <c r="R121" s="60" t="s">
        <v>149</v>
      </c>
      <c r="S121" s="78" t="s">
        <v>149</v>
      </c>
      <c r="T121" s="128" t="s">
        <v>149</v>
      </c>
      <c r="U121" s="31" t="s">
        <v>149</v>
      </c>
      <c r="V121" s="23" t="s">
        <v>149</v>
      </c>
      <c r="W121" s="26" t="s">
        <v>149</v>
      </c>
    </row>
    <row r="122" spans="2:23" ht="13.2">
      <c r="B122" s="83" t="s">
        <v>12</v>
      </c>
      <c r="C122" s="84" t="s">
        <v>11</v>
      </c>
      <c r="D122" s="84" t="s">
        <v>347</v>
      </c>
      <c r="E122" s="166" t="s">
        <v>396</v>
      </c>
      <c r="F122" s="99" t="s">
        <v>400</v>
      </c>
      <c r="G122" s="99" t="s">
        <v>405</v>
      </c>
      <c r="H122" s="84" t="s">
        <v>410</v>
      </c>
      <c r="I122" s="137">
        <v>46048</v>
      </c>
      <c r="J122" s="85" t="s">
        <v>425</v>
      </c>
      <c r="K122" s="161" t="s">
        <v>149</v>
      </c>
      <c r="L122" s="84" t="s">
        <v>149</v>
      </c>
      <c r="M122" s="23" t="s">
        <v>150</v>
      </c>
      <c r="N122" s="84" t="s">
        <v>149</v>
      </c>
      <c r="O122" s="162" t="s">
        <v>41</v>
      </c>
      <c r="P122" s="163" t="s">
        <v>41</v>
      </c>
      <c r="Q122" s="163" t="s">
        <v>41</v>
      </c>
      <c r="R122" s="60" t="s">
        <v>149</v>
      </c>
      <c r="S122" s="78" t="s">
        <v>149</v>
      </c>
      <c r="T122" s="128" t="s">
        <v>149</v>
      </c>
      <c r="U122" s="31" t="s">
        <v>149</v>
      </c>
      <c r="V122" s="23" t="s">
        <v>149</v>
      </c>
      <c r="W122" s="26" t="s">
        <v>149</v>
      </c>
    </row>
    <row r="123" spans="2:23" ht="13.2">
      <c r="B123" s="83" t="s">
        <v>12</v>
      </c>
      <c r="C123" s="84" t="s">
        <v>11</v>
      </c>
      <c r="D123" s="84" t="s">
        <v>258</v>
      </c>
      <c r="E123" s="166" t="s">
        <v>396</v>
      </c>
      <c r="F123" s="99" t="s">
        <v>400</v>
      </c>
      <c r="G123" s="99" t="s">
        <v>405</v>
      </c>
      <c r="H123" s="84" t="s">
        <v>410</v>
      </c>
      <c r="I123" s="137">
        <v>46034</v>
      </c>
      <c r="J123" s="85" t="s">
        <v>425</v>
      </c>
      <c r="K123" s="161" t="s">
        <v>149</v>
      </c>
      <c r="L123" s="84" t="s">
        <v>149</v>
      </c>
      <c r="M123" s="23" t="s">
        <v>150</v>
      </c>
      <c r="N123" s="84" t="s">
        <v>149</v>
      </c>
      <c r="O123" s="162" t="s">
        <v>41</v>
      </c>
      <c r="P123" s="163" t="s">
        <v>41</v>
      </c>
      <c r="Q123" s="163" t="s">
        <v>41</v>
      </c>
      <c r="R123" s="60" t="s">
        <v>149</v>
      </c>
      <c r="S123" s="78" t="s">
        <v>149</v>
      </c>
      <c r="T123" s="128" t="s">
        <v>149</v>
      </c>
      <c r="U123" s="31" t="s">
        <v>149</v>
      </c>
      <c r="V123" s="23" t="s">
        <v>149</v>
      </c>
      <c r="W123" s="26" t="s">
        <v>149</v>
      </c>
    </row>
    <row r="124" spans="2:23" ht="13.2">
      <c r="B124" s="83" t="s">
        <v>12</v>
      </c>
      <c r="C124" s="84" t="s">
        <v>11</v>
      </c>
      <c r="D124" s="84" t="s">
        <v>348</v>
      </c>
      <c r="E124" s="166" t="s">
        <v>396</v>
      </c>
      <c r="F124" s="99" t="s">
        <v>400</v>
      </c>
      <c r="G124" s="99" t="s">
        <v>405</v>
      </c>
      <c r="H124" s="84" t="s">
        <v>410</v>
      </c>
      <c r="I124" s="137">
        <v>46034</v>
      </c>
      <c r="J124" s="85" t="s">
        <v>425</v>
      </c>
      <c r="K124" s="161" t="s">
        <v>149</v>
      </c>
      <c r="L124" s="84" t="s">
        <v>149</v>
      </c>
      <c r="M124" s="23" t="s">
        <v>150</v>
      </c>
      <c r="N124" s="84" t="s">
        <v>149</v>
      </c>
      <c r="O124" s="162" t="s">
        <v>41</v>
      </c>
      <c r="P124" s="163" t="s">
        <v>41</v>
      </c>
      <c r="Q124" s="163" t="s">
        <v>41</v>
      </c>
      <c r="R124" s="60" t="s">
        <v>149</v>
      </c>
      <c r="S124" s="78" t="s">
        <v>149</v>
      </c>
      <c r="T124" s="128" t="s">
        <v>149</v>
      </c>
      <c r="U124" s="31" t="s">
        <v>149</v>
      </c>
      <c r="V124" s="23" t="s">
        <v>149</v>
      </c>
      <c r="W124" s="26" t="s">
        <v>149</v>
      </c>
    </row>
    <row r="125" spans="2:23" ht="13.2">
      <c r="B125" s="83" t="s">
        <v>12</v>
      </c>
      <c r="C125" s="84" t="s">
        <v>11</v>
      </c>
      <c r="D125" s="84" t="s">
        <v>349</v>
      </c>
      <c r="E125" s="166" t="s">
        <v>396</v>
      </c>
      <c r="F125" s="99" t="s">
        <v>400</v>
      </c>
      <c r="G125" s="99" t="s">
        <v>405</v>
      </c>
      <c r="H125" s="84" t="s">
        <v>410</v>
      </c>
      <c r="I125" s="137">
        <v>46041</v>
      </c>
      <c r="J125" s="85" t="s">
        <v>425</v>
      </c>
      <c r="K125" s="161" t="s">
        <v>149</v>
      </c>
      <c r="L125" s="84" t="s">
        <v>149</v>
      </c>
      <c r="M125" s="23" t="s">
        <v>150</v>
      </c>
      <c r="N125" s="84" t="s">
        <v>149</v>
      </c>
      <c r="O125" s="162" t="s">
        <v>41</v>
      </c>
      <c r="P125" s="163" t="s">
        <v>41</v>
      </c>
      <c r="Q125" s="163" t="s">
        <v>41</v>
      </c>
      <c r="R125" s="60" t="s">
        <v>149</v>
      </c>
      <c r="S125" s="78" t="s">
        <v>149</v>
      </c>
      <c r="T125" s="128" t="s">
        <v>149</v>
      </c>
      <c r="U125" s="31" t="s">
        <v>149</v>
      </c>
      <c r="V125" s="23" t="s">
        <v>149</v>
      </c>
      <c r="W125" s="26" t="s">
        <v>149</v>
      </c>
    </row>
    <row r="126" spans="2:23" ht="13.2">
      <c r="B126" s="83" t="s">
        <v>12</v>
      </c>
      <c r="C126" s="84" t="s">
        <v>11</v>
      </c>
      <c r="D126" s="84" t="s">
        <v>350</v>
      </c>
      <c r="E126" s="166" t="s">
        <v>396</v>
      </c>
      <c r="F126" s="99" t="s">
        <v>400</v>
      </c>
      <c r="G126" s="99" t="s">
        <v>405</v>
      </c>
      <c r="H126" s="84" t="s">
        <v>410</v>
      </c>
      <c r="I126" s="137">
        <v>46041</v>
      </c>
      <c r="J126" s="85" t="s">
        <v>425</v>
      </c>
      <c r="K126" s="161" t="s">
        <v>149</v>
      </c>
      <c r="L126" s="84" t="s">
        <v>149</v>
      </c>
      <c r="M126" s="23" t="s">
        <v>150</v>
      </c>
      <c r="N126" s="84" t="s">
        <v>149</v>
      </c>
      <c r="O126" s="162" t="s">
        <v>41</v>
      </c>
      <c r="P126" s="163" t="s">
        <v>41</v>
      </c>
      <c r="Q126" s="163" t="s">
        <v>41</v>
      </c>
      <c r="R126" s="60" t="s">
        <v>149</v>
      </c>
      <c r="S126" s="78" t="s">
        <v>149</v>
      </c>
      <c r="T126" s="128" t="s">
        <v>149</v>
      </c>
      <c r="U126" s="31" t="s">
        <v>149</v>
      </c>
      <c r="V126" s="23" t="s">
        <v>149</v>
      </c>
      <c r="W126" s="26" t="s">
        <v>149</v>
      </c>
    </row>
    <row r="127" spans="2:23" ht="13.2">
      <c r="B127" s="83" t="s">
        <v>12</v>
      </c>
      <c r="C127" s="84" t="s">
        <v>11</v>
      </c>
      <c r="D127" s="84" t="s">
        <v>351</v>
      </c>
      <c r="E127" s="166" t="s">
        <v>396</v>
      </c>
      <c r="F127" s="99" t="s">
        <v>400</v>
      </c>
      <c r="G127" s="99" t="s">
        <v>405</v>
      </c>
      <c r="H127" s="84" t="s">
        <v>410</v>
      </c>
      <c r="I127" s="137">
        <v>46041</v>
      </c>
      <c r="J127" s="85" t="s">
        <v>425</v>
      </c>
      <c r="K127" s="161" t="s">
        <v>149</v>
      </c>
      <c r="L127" s="84" t="s">
        <v>149</v>
      </c>
      <c r="M127" s="23" t="s">
        <v>150</v>
      </c>
      <c r="N127" s="84" t="s">
        <v>149</v>
      </c>
      <c r="O127" s="162" t="s">
        <v>41</v>
      </c>
      <c r="P127" s="163" t="s">
        <v>41</v>
      </c>
      <c r="Q127" s="163" t="s">
        <v>41</v>
      </c>
      <c r="R127" s="60" t="s">
        <v>149</v>
      </c>
      <c r="S127" s="78" t="s">
        <v>149</v>
      </c>
      <c r="T127" s="128" t="s">
        <v>149</v>
      </c>
      <c r="U127" s="31" t="s">
        <v>149</v>
      </c>
      <c r="V127" s="23" t="s">
        <v>149</v>
      </c>
      <c r="W127" s="26" t="s">
        <v>149</v>
      </c>
    </row>
    <row r="128" spans="2:23" ht="13.2">
      <c r="B128" s="83" t="s">
        <v>12</v>
      </c>
      <c r="C128" s="84" t="s">
        <v>11</v>
      </c>
      <c r="D128" s="84" t="s">
        <v>352</v>
      </c>
      <c r="E128" s="166" t="s">
        <v>396</v>
      </c>
      <c r="F128" s="99" t="s">
        <v>400</v>
      </c>
      <c r="G128" s="99" t="s">
        <v>405</v>
      </c>
      <c r="H128" s="84" t="s">
        <v>410</v>
      </c>
      <c r="I128" s="137">
        <v>46041</v>
      </c>
      <c r="J128" s="85" t="s">
        <v>425</v>
      </c>
      <c r="K128" s="161" t="s">
        <v>149</v>
      </c>
      <c r="L128" s="84" t="s">
        <v>149</v>
      </c>
      <c r="M128" s="23" t="s">
        <v>150</v>
      </c>
      <c r="N128" s="84" t="s">
        <v>149</v>
      </c>
      <c r="O128" s="162" t="s">
        <v>41</v>
      </c>
      <c r="P128" s="163" t="s">
        <v>41</v>
      </c>
      <c r="Q128" s="163" t="s">
        <v>41</v>
      </c>
      <c r="R128" s="60" t="s">
        <v>149</v>
      </c>
      <c r="S128" s="78" t="s">
        <v>149</v>
      </c>
      <c r="T128" s="128" t="s">
        <v>149</v>
      </c>
      <c r="U128" s="31" t="s">
        <v>149</v>
      </c>
      <c r="V128" s="23" t="s">
        <v>149</v>
      </c>
      <c r="W128" s="26" t="s">
        <v>149</v>
      </c>
    </row>
    <row r="129" spans="2:23" ht="13.2">
      <c r="B129" s="83" t="s">
        <v>12</v>
      </c>
      <c r="C129" s="84" t="s">
        <v>11</v>
      </c>
      <c r="D129" s="84" t="s">
        <v>353</v>
      </c>
      <c r="E129" s="166" t="s">
        <v>396</v>
      </c>
      <c r="F129" s="99" t="s">
        <v>400</v>
      </c>
      <c r="G129" s="99" t="s">
        <v>405</v>
      </c>
      <c r="H129" s="84" t="s">
        <v>410</v>
      </c>
      <c r="I129" s="137">
        <v>46041</v>
      </c>
      <c r="J129" s="85" t="s">
        <v>425</v>
      </c>
      <c r="K129" s="161" t="s">
        <v>149</v>
      </c>
      <c r="L129" s="84" t="s">
        <v>149</v>
      </c>
      <c r="M129" s="23" t="s">
        <v>150</v>
      </c>
      <c r="N129" s="84" t="s">
        <v>149</v>
      </c>
      <c r="O129" s="162" t="s">
        <v>41</v>
      </c>
      <c r="P129" s="163" t="s">
        <v>41</v>
      </c>
      <c r="Q129" s="163" t="s">
        <v>41</v>
      </c>
      <c r="R129" s="60" t="s">
        <v>149</v>
      </c>
      <c r="S129" s="78" t="s">
        <v>149</v>
      </c>
      <c r="T129" s="128" t="s">
        <v>149</v>
      </c>
      <c r="U129" s="31" t="s">
        <v>149</v>
      </c>
      <c r="V129" s="23" t="s">
        <v>149</v>
      </c>
      <c r="W129" s="26" t="s">
        <v>149</v>
      </c>
    </row>
    <row r="130" spans="2:23" ht="13.2">
      <c r="B130" s="83" t="s">
        <v>12</v>
      </c>
      <c r="C130" s="84" t="s">
        <v>11</v>
      </c>
      <c r="D130" s="84" t="s">
        <v>354</v>
      </c>
      <c r="E130" s="166" t="s">
        <v>396</v>
      </c>
      <c r="F130" s="99" t="s">
        <v>400</v>
      </c>
      <c r="G130" s="99" t="s">
        <v>405</v>
      </c>
      <c r="H130" s="84" t="s">
        <v>410</v>
      </c>
      <c r="I130" s="137">
        <v>46041</v>
      </c>
      <c r="J130" s="85" t="s">
        <v>425</v>
      </c>
      <c r="K130" s="161" t="s">
        <v>149</v>
      </c>
      <c r="L130" s="84" t="s">
        <v>149</v>
      </c>
      <c r="M130" s="23" t="s">
        <v>150</v>
      </c>
      <c r="N130" s="84" t="s">
        <v>149</v>
      </c>
      <c r="O130" s="162" t="s">
        <v>41</v>
      </c>
      <c r="P130" s="163" t="s">
        <v>41</v>
      </c>
      <c r="Q130" s="163" t="s">
        <v>41</v>
      </c>
      <c r="R130" s="60" t="s">
        <v>149</v>
      </c>
      <c r="S130" s="78" t="s">
        <v>149</v>
      </c>
      <c r="T130" s="128" t="s">
        <v>149</v>
      </c>
      <c r="U130" s="31" t="s">
        <v>149</v>
      </c>
      <c r="V130" s="23" t="s">
        <v>149</v>
      </c>
      <c r="W130" s="26" t="s">
        <v>149</v>
      </c>
    </row>
    <row r="131" spans="2:23" ht="13.2">
      <c r="B131" s="83" t="s">
        <v>12</v>
      </c>
      <c r="C131" s="84" t="s">
        <v>11</v>
      </c>
      <c r="D131" s="84" t="s">
        <v>355</v>
      </c>
      <c r="E131" s="166" t="s">
        <v>396</v>
      </c>
      <c r="F131" s="99" t="s">
        <v>400</v>
      </c>
      <c r="G131" s="99" t="s">
        <v>405</v>
      </c>
      <c r="H131" s="84" t="s">
        <v>410</v>
      </c>
      <c r="I131" s="137">
        <v>46041</v>
      </c>
      <c r="J131" s="85" t="s">
        <v>425</v>
      </c>
      <c r="K131" s="161" t="s">
        <v>149</v>
      </c>
      <c r="L131" s="84" t="s">
        <v>149</v>
      </c>
      <c r="M131" s="23" t="s">
        <v>150</v>
      </c>
      <c r="N131" s="84" t="s">
        <v>149</v>
      </c>
      <c r="O131" s="162" t="s">
        <v>41</v>
      </c>
      <c r="P131" s="163" t="s">
        <v>41</v>
      </c>
      <c r="Q131" s="163" t="s">
        <v>41</v>
      </c>
      <c r="R131" s="60" t="s">
        <v>149</v>
      </c>
      <c r="S131" s="78" t="s">
        <v>149</v>
      </c>
      <c r="T131" s="128" t="s">
        <v>149</v>
      </c>
      <c r="U131" s="31" t="s">
        <v>149</v>
      </c>
      <c r="V131" s="23" t="s">
        <v>149</v>
      </c>
      <c r="W131" s="26" t="s">
        <v>149</v>
      </c>
    </row>
    <row r="132" spans="2:23" ht="13.2">
      <c r="B132" s="83" t="s">
        <v>12</v>
      </c>
      <c r="C132" s="84" t="s">
        <v>11</v>
      </c>
      <c r="D132" s="84" t="s">
        <v>356</v>
      </c>
      <c r="E132" s="166" t="s">
        <v>396</v>
      </c>
      <c r="F132" s="99" t="s">
        <v>400</v>
      </c>
      <c r="G132" s="99" t="s">
        <v>405</v>
      </c>
      <c r="H132" s="84" t="s">
        <v>410</v>
      </c>
      <c r="I132" s="137">
        <v>46041</v>
      </c>
      <c r="J132" s="85" t="s">
        <v>425</v>
      </c>
      <c r="K132" s="161" t="s">
        <v>149</v>
      </c>
      <c r="L132" s="84" t="s">
        <v>149</v>
      </c>
      <c r="M132" s="23" t="s">
        <v>150</v>
      </c>
      <c r="N132" s="84" t="s">
        <v>149</v>
      </c>
      <c r="O132" s="162" t="s">
        <v>41</v>
      </c>
      <c r="P132" s="163" t="s">
        <v>41</v>
      </c>
      <c r="Q132" s="163" t="s">
        <v>41</v>
      </c>
      <c r="R132" s="60" t="s">
        <v>149</v>
      </c>
      <c r="S132" s="78" t="s">
        <v>149</v>
      </c>
      <c r="T132" s="128" t="s">
        <v>149</v>
      </c>
      <c r="U132" s="31" t="s">
        <v>149</v>
      </c>
      <c r="V132" s="23" t="s">
        <v>149</v>
      </c>
      <c r="W132" s="26" t="s">
        <v>149</v>
      </c>
    </row>
    <row r="133" spans="2:23" ht="13.2">
      <c r="B133" s="83" t="s">
        <v>12</v>
      </c>
      <c r="C133" s="84" t="s">
        <v>11</v>
      </c>
      <c r="D133" s="84" t="s">
        <v>357</v>
      </c>
      <c r="E133" s="166" t="s">
        <v>396</v>
      </c>
      <c r="F133" s="99" t="s">
        <v>400</v>
      </c>
      <c r="G133" s="99" t="s">
        <v>405</v>
      </c>
      <c r="H133" s="84" t="s">
        <v>410</v>
      </c>
      <c r="I133" s="137">
        <v>46034</v>
      </c>
      <c r="J133" s="85" t="s">
        <v>425</v>
      </c>
      <c r="K133" s="161" t="s">
        <v>149</v>
      </c>
      <c r="L133" s="84" t="s">
        <v>149</v>
      </c>
      <c r="M133" s="23" t="s">
        <v>150</v>
      </c>
      <c r="N133" s="84" t="s">
        <v>149</v>
      </c>
      <c r="O133" s="162" t="s">
        <v>41</v>
      </c>
      <c r="P133" s="163" t="s">
        <v>41</v>
      </c>
      <c r="Q133" s="163" t="s">
        <v>41</v>
      </c>
      <c r="R133" s="60" t="s">
        <v>149</v>
      </c>
      <c r="S133" s="78" t="s">
        <v>149</v>
      </c>
      <c r="T133" s="128" t="s">
        <v>149</v>
      </c>
      <c r="U133" s="31" t="s">
        <v>149</v>
      </c>
      <c r="V133" s="23" t="s">
        <v>149</v>
      </c>
      <c r="W133" s="26" t="s">
        <v>149</v>
      </c>
    </row>
    <row r="134" spans="2:23" ht="13.2">
      <c r="B134" s="83" t="s">
        <v>12</v>
      </c>
      <c r="C134" s="84" t="s">
        <v>11</v>
      </c>
      <c r="D134" s="84" t="s">
        <v>358</v>
      </c>
      <c r="E134" s="166" t="s">
        <v>396</v>
      </c>
      <c r="F134" s="99" t="s">
        <v>400</v>
      </c>
      <c r="G134" s="99" t="s">
        <v>405</v>
      </c>
      <c r="H134" s="84" t="s">
        <v>410</v>
      </c>
      <c r="I134" s="137">
        <v>46034</v>
      </c>
      <c r="J134" s="85" t="s">
        <v>425</v>
      </c>
      <c r="K134" s="161" t="s">
        <v>149</v>
      </c>
      <c r="L134" s="84" t="s">
        <v>149</v>
      </c>
      <c r="M134" s="23" t="s">
        <v>150</v>
      </c>
      <c r="N134" s="84" t="s">
        <v>149</v>
      </c>
      <c r="O134" s="162" t="s">
        <v>41</v>
      </c>
      <c r="P134" s="163" t="s">
        <v>41</v>
      </c>
      <c r="Q134" s="163" t="s">
        <v>41</v>
      </c>
      <c r="R134" s="60" t="s">
        <v>149</v>
      </c>
      <c r="S134" s="78" t="s">
        <v>149</v>
      </c>
      <c r="T134" s="128" t="s">
        <v>149</v>
      </c>
      <c r="U134" s="31" t="s">
        <v>149</v>
      </c>
      <c r="V134" s="23" t="s">
        <v>149</v>
      </c>
      <c r="W134" s="26" t="s">
        <v>149</v>
      </c>
    </row>
    <row r="135" spans="2:23" ht="13.2">
      <c r="B135" s="83" t="s">
        <v>12</v>
      </c>
      <c r="C135" s="84" t="s">
        <v>11</v>
      </c>
      <c r="D135" s="84" t="s">
        <v>359</v>
      </c>
      <c r="E135" s="166" t="s">
        <v>396</v>
      </c>
      <c r="F135" s="99" t="s">
        <v>400</v>
      </c>
      <c r="G135" s="99" t="s">
        <v>405</v>
      </c>
      <c r="H135" s="84" t="s">
        <v>410</v>
      </c>
      <c r="I135" s="137">
        <v>46034</v>
      </c>
      <c r="J135" s="85" t="s">
        <v>425</v>
      </c>
      <c r="K135" s="161" t="s">
        <v>149</v>
      </c>
      <c r="L135" s="84" t="s">
        <v>149</v>
      </c>
      <c r="M135" s="23" t="s">
        <v>150</v>
      </c>
      <c r="N135" s="84" t="s">
        <v>149</v>
      </c>
      <c r="O135" s="162" t="s">
        <v>41</v>
      </c>
      <c r="P135" s="163" t="s">
        <v>41</v>
      </c>
      <c r="Q135" s="163" t="s">
        <v>41</v>
      </c>
      <c r="R135" s="60" t="s">
        <v>149</v>
      </c>
      <c r="S135" s="78" t="s">
        <v>149</v>
      </c>
      <c r="T135" s="128" t="s">
        <v>149</v>
      </c>
      <c r="U135" s="31" t="s">
        <v>149</v>
      </c>
      <c r="V135" s="23" t="s">
        <v>149</v>
      </c>
      <c r="W135" s="26" t="s">
        <v>149</v>
      </c>
    </row>
    <row r="136" spans="2:23" ht="13.2">
      <c r="B136" s="83" t="s">
        <v>12</v>
      </c>
      <c r="C136" s="84" t="s">
        <v>11</v>
      </c>
      <c r="D136" s="84" t="s">
        <v>360</v>
      </c>
      <c r="E136" s="166" t="s">
        <v>396</v>
      </c>
      <c r="F136" s="99" t="s">
        <v>400</v>
      </c>
      <c r="G136" s="99" t="s">
        <v>405</v>
      </c>
      <c r="H136" s="84" t="s">
        <v>410</v>
      </c>
      <c r="I136" s="137">
        <v>46034</v>
      </c>
      <c r="J136" s="85" t="s">
        <v>425</v>
      </c>
      <c r="K136" s="161" t="s">
        <v>149</v>
      </c>
      <c r="L136" s="84" t="s">
        <v>149</v>
      </c>
      <c r="M136" s="23" t="s">
        <v>150</v>
      </c>
      <c r="N136" s="84" t="s">
        <v>149</v>
      </c>
      <c r="O136" s="162" t="s">
        <v>41</v>
      </c>
      <c r="P136" s="163" t="s">
        <v>41</v>
      </c>
      <c r="Q136" s="163" t="s">
        <v>41</v>
      </c>
      <c r="R136" s="60" t="s">
        <v>149</v>
      </c>
      <c r="S136" s="78" t="s">
        <v>149</v>
      </c>
      <c r="T136" s="128" t="s">
        <v>149</v>
      </c>
      <c r="U136" s="31" t="s">
        <v>149</v>
      </c>
      <c r="V136" s="23" t="s">
        <v>149</v>
      </c>
      <c r="W136" s="26" t="s">
        <v>149</v>
      </c>
    </row>
    <row r="137" spans="2:23" ht="13.2">
      <c r="B137" s="83" t="s">
        <v>12</v>
      </c>
      <c r="C137" s="84" t="s">
        <v>11</v>
      </c>
      <c r="D137" s="84" t="s">
        <v>361</v>
      </c>
      <c r="E137" s="166" t="s">
        <v>396</v>
      </c>
      <c r="F137" s="99" t="s">
        <v>400</v>
      </c>
      <c r="G137" s="99" t="s">
        <v>405</v>
      </c>
      <c r="H137" s="84" t="s">
        <v>410</v>
      </c>
      <c r="I137" s="137">
        <v>46048</v>
      </c>
      <c r="J137" s="85" t="s">
        <v>425</v>
      </c>
      <c r="K137" s="161" t="s">
        <v>149</v>
      </c>
      <c r="L137" s="84" t="s">
        <v>149</v>
      </c>
      <c r="M137" s="23" t="s">
        <v>150</v>
      </c>
      <c r="N137" s="84" t="s">
        <v>149</v>
      </c>
      <c r="O137" s="162" t="s">
        <v>41</v>
      </c>
      <c r="P137" s="163" t="s">
        <v>41</v>
      </c>
      <c r="Q137" s="163" t="s">
        <v>41</v>
      </c>
      <c r="R137" s="60" t="s">
        <v>149</v>
      </c>
      <c r="S137" s="78" t="s">
        <v>149</v>
      </c>
      <c r="T137" s="128" t="s">
        <v>149</v>
      </c>
      <c r="U137" s="31" t="s">
        <v>149</v>
      </c>
      <c r="V137" s="23" t="s">
        <v>149</v>
      </c>
      <c r="W137" s="26" t="s">
        <v>149</v>
      </c>
    </row>
    <row r="138" spans="2:23" ht="13.2">
      <c r="B138" s="83" t="s">
        <v>12</v>
      </c>
      <c r="C138" s="84" t="s">
        <v>11</v>
      </c>
      <c r="D138" s="84" t="s">
        <v>362</v>
      </c>
      <c r="E138" s="166" t="s">
        <v>396</v>
      </c>
      <c r="F138" s="99" t="s">
        <v>400</v>
      </c>
      <c r="G138" s="99" t="s">
        <v>405</v>
      </c>
      <c r="H138" s="84" t="s">
        <v>410</v>
      </c>
      <c r="I138" s="137">
        <v>46041</v>
      </c>
      <c r="J138" s="85" t="s">
        <v>425</v>
      </c>
      <c r="K138" s="161" t="s">
        <v>149</v>
      </c>
      <c r="L138" s="84" t="s">
        <v>149</v>
      </c>
      <c r="M138" s="23" t="s">
        <v>150</v>
      </c>
      <c r="N138" s="84" t="s">
        <v>149</v>
      </c>
      <c r="O138" s="162" t="s">
        <v>41</v>
      </c>
      <c r="P138" s="163" t="s">
        <v>41</v>
      </c>
      <c r="Q138" s="163" t="s">
        <v>41</v>
      </c>
      <c r="R138" s="60" t="s">
        <v>149</v>
      </c>
      <c r="S138" s="78" t="s">
        <v>149</v>
      </c>
      <c r="T138" s="128" t="s">
        <v>149</v>
      </c>
      <c r="U138" s="31" t="s">
        <v>149</v>
      </c>
      <c r="V138" s="23" t="s">
        <v>149</v>
      </c>
      <c r="W138" s="26" t="s">
        <v>149</v>
      </c>
    </row>
    <row r="139" spans="2:23" ht="13.2">
      <c r="B139" s="83" t="s">
        <v>12</v>
      </c>
      <c r="C139" s="84" t="s">
        <v>11</v>
      </c>
      <c r="D139" s="84" t="s">
        <v>363</v>
      </c>
      <c r="E139" s="166" t="s">
        <v>396</v>
      </c>
      <c r="F139" s="99" t="s">
        <v>400</v>
      </c>
      <c r="G139" s="99" t="s">
        <v>405</v>
      </c>
      <c r="H139" s="84" t="s">
        <v>410</v>
      </c>
      <c r="I139" s="137">
        <v>46034</v>
      </c>
      <c r="J139" s="85" t="s">
        <v>425</v>
      </c>
      <c r="K139" s="161" t="s">
        <v>149</v>
      </c>
      <c r="L139" s="84" t="s">
        <v>149</v>
      </c>
      <c r="M139" s="23" t="s">
        <v>150</v>
      </c>
      <c r="N139" s="84" t="s">
        <v>149</v>
      </c>
      <c r="O139" s="162" t="s">
        <v>41</v>
      </c>
      <c r="P139" s="163" t="s">
        <v>41</v>
      </c>
      <c r="Q139" s="163" t="s">
        <v>41</v>
      </c>
      <c r="R139" s="60" t="s">
        <v>149</v>
      </c>
      <c r="S139" s="78" t="s">
        <v>149</v>
      </c>
      <c r="T139" s="128" t="s">
        <v>149</v>
      </c>
      <c r="U139" s="31" t="s">
        <v>149</v>
      </c>
      <c r="V139" s="23" t="s">
        <v>149</v>
      </c>
      <c r="W139" s="26" t="s">
        <v>149</v>
      </c>
    </row>
    <row r="140" spans="2:23" ht="13.2">
      <c r="B140" s="83" t="s">
        <v>12</v>
      </c>
      <c r="C140" s="84" t="s">
        <v>11</v>
      </c>
      <c r="D140" s="84" t="s">
        <v>364</v>
      </c>
      <c r="E140" s="166" t="s">
        <v>396</v>
      </c>
      <c r="F140" s="99" t="s">
        <v>400</v>
      </c>
      <c r="G140" s="99" t="s">
        <v>405</v>
      </c>
      <c r="H140" s="84" t="s">
        <v>410</v>
      </c>
      <c r="I140" s="137">
        <v>46034</v>
      </c>
      <c r="J140" s="85" t="s">
        <v>425</v>
      </c>
      <c r="K140" s="161" t="s">
        <v>149</v>
      </c>
      <c r="L140" s="84" t="s">
        <v>149</v>
      </c>
      <c r="M140" s="23" t="s">
        <v>150</v>
      </c>
      <c r="N140" s="84" t="s">
        <v>149</v>
      </c>
      <c r="O140" s="162" t="s">
        <v>41</v>
      </c>
      <c r="P140" s="163" t="s">
        <v>41</v>
      </c>
      <c r="Q140" s="163" t="s">
        <v>41</v>
      </c>
      <c r="R140" s="60" t="s">
        <v>149</v>
      </c>
      <c r="S140" s="78" t="s">
        <v>149</v>
      </c>
      <c r="T140" s="128" t="s">
        <v>149</v>
      </c>
      <c r="U140" s="31" t="s">
        <v>149</v>
      </c>
      <c r="V140" s="23" t="s">
        <v>149</v>
      </c>
      <c r="W140" s="26" t="s">
        <v>149</v>
      </c>
    </row>
    <row r="141" spans="2:23" ht="13.2">
      <c r="B141" s="83" t="s">
        <v>12</v>
      </c>
      <c r="C141" s="84" t="s">
        <v>11</v>
      </c>
      <c r="D141" s="84" t="s">
        <v>365</v>
      </c>
      <c r="E141" s="166" t="s">
        <v>396</v>
      </c>
      <c r="F141" s="99" t="s">
        <v>400</v>
      </c>
      <c r="G141" s="99" t="s">
        <v>405</v>
      </c>
      <c r="H141" s="84" t="s">
        <v>410</v>
      </c>
      <c r="I141" s="137">
        <v>46048</v>
      </c>
      <c r="J141" s="85" t="s">
        <v>425</v>
      </c>
      <c r="K141" s="161" t="s">
        <v>149</v>
      </c>
      <c r="L141" s="84" t="s">
        <v>149</v>
      </c>
      <c r="M141" s="23" t="s">
        <v>150</v>
      </c>
      <c r="N141" s="84" t="s">
        <v>149</v>
      </c>
      <c r="O141" s="162" t="s">
        <v>41</v>
      </c>
      <c r="P141" s="163" t="s">
        <v>41</v>
      </c>
      <c r="Q141" s="163" t="s">
        <v>41</v>
      </c>
      <c r="R141" s="60" t="s">
        <v>149</v>
      </c>
      <c r="S141" s="78" t="s">
        <v>149</v>
      </c>
      <c r="T141" s="128" t="s">
        <v>149</v>
      </c>
      <c r="U141" s="31" t="s">
        <v>149</v>
      </c>
      <c r="V141" s="23" t="s">
        <v>149</v>
      </c>
      <c r="W141" s="26" t="s">
        <v>149</v>
      </c>
    </row>
    <row r="142" spans="2:23" ht="13.2">
      <c r="B142" s="83" t="s">
        <v>12</v>
      </c>
      <c r="C142" s="84" t="s">
        <v>11</v>
      </c>
      <c r="D142" s="84" t="s">
        <v>366</v>
      </c>
      <c r="E142" s="166" t="s">
        <v>396</v>
      </c>
      <c r="F142" s="99" t="s">
        <v>400</v>
      </c>
      <c r="G142" s="99" t="s">
        <v>405</v>
      </c>
      <c r="H142" s="84" t="s">
        <v>410</v>
      </c>
      <c r="I142" s="137">
        <v>46041</v>
      </c>
      <c r="J142" s="85" t="s">
        <v>425</v>
      </c>
      <c r="K142" s="161" t="s">
        <v>149</v>
      </c>
      <c r="L142" s="84" t="s">
        <v>149</v>
      </c>
      <c r="M142" s="23" t="s">
        <v>150</v>
      </c>
      <c r="N142" s="84" t="s">
        <v>149</v>
      </c>
      <c r="O142" s="162" t="s">
        <v>41</v>
      </c>
      <c r="P142" s="163" t="s">
        <v>41</v>
      </c>
      <c r="Q142" s="163" t="s">
        <v>41</v>
      </c>
      <c r="R142" s="60" t="s">
        <v>149</v>
      </c>
      <c r="S142" s="78" t="s">
        <v>149</v>
      </c>
      <c r="T142" s="128" t="s">
        <v>149</v>
      </c>
      <c r="U142" s="31" t="s">
        <v>149</v>
      </c>
      <c r="V142" s="23" t="s">
        <v>149</v>
      </c>
      <c r="W142" s="26" t="s">
        <v>149</v>
      </c>
    </row>
    <row r="143" spans="2:23" ht="13.2">
      <c r="B143" s="83" t="s">
        <v>12</v>
      </c>
      <c r="C143" s="84" t="s">
        <v>11</v>
      </c>
      <c r="D143" s="84" t="s">
        <v>367</v>
      </c>
      <c r="E143" s="166" t="s">
        <v>396</v>
      </c>
      <c r="F143" s="99" t="s">
        <v>400</v>
      </c>
      <c r="G143" s="99" t="s">
        <v>405</v>
      </c>
      <c r="H143" s="84" t="s">
        <v>410</v>
      </c>
      <c r="I143" s="137">
        <v>46048</v>
      </c>
      <c r="J143" s="85" t="s">
        <v>425</v>
      </c>
      <c r="K143" s="161" t="s">
        <v>149</v>
      </c>
      <c r="L143" s="84" t="s">
        <v>149</v>
      </c>
      <c r="M143" s="23" t="s">
        <v>150</v>
      </c>
      <c r="N143" s="84" t="s">
        <v>149</v>
      </c>
      <c r="O143" s="162" t="s">
        <v>41</v>
      </c>
      <c r="P143" s="163" t="s">
        <v>41</v>
      </c>
      <c r="Q143" s="163" t="s">
        <v>41</v>
      </c>
      <c r="R143" s="60" t="s">
        <v>149</v>
      </c>
      <c r="S143" s="78" t="s">
        <v>149</v>
      </c>
      <c r="T143" s="128" t="s">
        <v>149</v>
      </c>
      <c r="U143" s="31" t="s">
        <v>149</v>
      </c>
      <c r="V143" s="23" t="s">
        <v>149</v>
      </c>
      <c r="W143" s="26" t="s">
        <v>149</v>
      </c>
    </row>
    <row r="144" spans="2:23" ht="13.2">
      <c r="B144" s="83" t="s">
        <v>12</v>
      </c>
      <c r="C144" s="84" t="s">
        <v>11</v>
      </c>
      <c r="D144" s="84" t="s">
        <v>368</v>
      </c>
      <c r="E144" s="166" t="s">
        <v>396</v>
      </c>
      <c r="F144" s="99" t="s">
        <v>400</v>
      </c>
      <c r="G144" s="99" t="s">
        <v>405</v>
      </c>
      <c r="H144" s="84" t="s">
        <v>410</v>
      </c>
      <c r="I144" s="137">
        <v>46041</v>
      </c>
      <c r="J144" s="85" t="s">
        <v>425</v>
      </c>
      <c r="K144" s="161" t="s">
        <v>149</v>
      </c>
      <c r="L144" s="84" t="s">
        <v>149</v>
      </c>
      <c r="M144" s="23" t="s">
        <v>150</v>
      </c>
      <c r="N144" s="84" t="s">
        <v>149</v>
      </c>
      <c r="O144" s="162" t="s">
        <v>41</v>
      </c>
      <c r="P144" s="163" t="s">
        <v>41</v>
      </c>
      <c r="Q144" s="163" t="s">
        <v>41</v>
      </c>
      <c r="R144" s="60" t="s">
        <v>149</v>
      </c>
      <c r="S144" s="78" t="s">
        <v>149</v>
      </c>
      <c r="T144" s="128" t="s">
        <v>149</v>
      </c>
      <c r="U144" s="31" t="s">
        <v>149</v>
      </c>
      <c r="V144" s="23" t="s">
        <v>149</v>
      </c>
      <c r="W144" s="26" t="s">
        <v>149</v>
      </c>
    </row>
    <row r="145" spans="2:23" ht="13.2">
      <c r="B145" s="83" t="s">
        <v>12</v>
      </c>
      <c r="C145" s="84" t="s">
        <v>11</v>
      </c>
      <c r="D145" s="84" t="s">
        <v>369</v>
      </c>
      <c r="E145" s="166" t="s">
        <v>396</v>
      </c>
      <c r="F145" s="99" t="s">
        <v>400</v>
      </c>
      <c r="G145" s="99" t="s">
        <v>405</v>
      </c>
      <c r="H145" s="84" t="s">
        <v>410</v>
      </c>
      <c r="I145" s="137">
        <v>46041</v>
      </c>
      <c r="J145" s="85" t="s">
        <v>425</v>
      </c>
      <c r="K145" s="161" t="s">
        <v>149</v>
      </c>
      <c r="L145" s="84" t="s">
        <v>149</v>
      </c>
      <c r="M145" s="23" t="s">
        <v>150</v>
      </c>
      <c r="N145" s="84" t="s">
        <v>149</v>
      </c>
      <c r="O145" s="162" t="s">
        <v>41</v>
      </c>
      <c r="P145" s="163" t="s">
        <v>41</v>
      </c>
      <c r="Q145" s="163" t="s">
        <v>41</v>
      </c>
      <c r="R145" s="60" t="s">
        <v>149</v>
      </c>
      <c r="S145" s="78" t="s">
        <v>149</v>
      </c>
      <c r="T145" s="128" t="s">
        <v>149</v>
      </c>
      <c r="U145" s="31" t="s">
        <v>149</v>
      </c>
      <c r="V145" s="23" t="s">
        <v>149</v>
      </c>
      <c r="W145" s="26" t="s">
        <v>149</v>
      </c>
    </row>
    <row r="146" spans="2:23" ht="13.2">
      <c r="B146" s="83" t="s">
        <v>12</v>
      </c>
      <c r="C146" s="84" t="s">
        <v>11</v>
      </c>
      <c r="D146" s="84" t="s">
        <v>370</v>
      </c>
      <c r="E146" s="166" t="s">
        <v>396</v>
      </c>
      <c r="F146" s="99" t="s">
        <v>400</v>
      </c>
      <c r="G146" s="99" t="s">
        <v>405</v>
      </c>
      <c r="H146" s="84" t="s">
        <v>410</v>
      </c>
      <c r="I146" s="137">
        <v>46048</v>
      </c>
      <c r="J146" s="85" t="s">
        <v>425</v>
      </c>
      <c r="K146" s="161" t="s">
        <v>149</v>
      </c>
      <c r="L146" s="84" t="s">
        <v>149</v>
      </c>
      <c r="M146" s="23" t="s">
        <v>150</v>
      </c>
      <c r="N146" s="84" t="s">
        <v>149</v>
      </c>
      <c r="O146" s="162" t="s">
        <v>41</v>
      </c>
      <c r="P146" s="163" t="s">
        <v>41</v>
      </c>
      <c r="Q146" s="163" t="s">
        <v>41</v>
      </c>
      <c r="R146" s="60" t="s">
        <v>149</v>
      </c>
      <c r="S146" s="78" t="s">
        <v>149</v>
      </c>
      <c r="T146" s="128" t="s">
        <v>149</v>
      </c>
      <c r="U146" s="31" t="s">
        <v>149</v>
      </c>
      <c r="V146" s="23" t="s">
        <v>149</v>
      </c>
      <c r="W146" s="26" t="s">
        <v>149</v>
      </c>
    </row>
    <row r="147" spans="2:23" ht="13.2">
      <c r="B147" s="83" t="s">
        <v>12</v>
      </c>
      <c r="C147" s="84" t="s">
        <v>11</v>
      </c>
      <c r="D147" s="84" t="s">
        <v>371</v>
      </c>
      <c r="E147" s="166" t="s">
        <v>396</v>
      </c>
      <c r="F147" s="99" t="s">
        <v>400</v>
      </c>
      <c r="G147" s="99" t="s">
        <v>405</v>
      </c>
      <c r="H147" s="84" t="s">
        <v>410</v>
      </c>
      <c r="I147" s="137">
        <v>46048</v>
      </c>
      <c r="J147" s="85" t="s">
        <v>425</v>
      </c>
      <c r="K147" s="161" t="s">
        <v>149</v>
      </c>
      <c r="L147" s="84" t="s">
        <v>149</v>
      </c>
      <c r="M147" s="23" t="s">
        <v>150</v>
      </c>
      <c r="N147" s="84" t="s">
        <v>149</v>
      </c>
      <c r="O147" s="162" t="s">
        <v>41</v>
      </c>
      <c r="P147" s="163" t="s">
        <v>41</v>
      </c>
      <c r="Q147" s="163" t="s">
        <v>41</v>
      </c>
      <c r="R147" s="60" t="s">
        <v>149</v>
      </c>
      <c r="S147" s="78" t="s">
        <v>149</v>
      </c>
      <c r="T147" s="128" t="s">
        <v>149</v>
      </c>
      <c r="U147" s="31" t="s">
        <v>149</v>
      </c>
      <c r="V147" s="23" t="s">
        <v>149</v>
      </c>
      <c r="W147" s="26" t="s">
        <v>149</v>
      </c>
    </row>
    <row r="148" spans="2:23" ht="13.2">
      <c r="B148" s="83" t="s">
        <v>12</v>
      </c>
      <c r="C148" s="84" t="s">
        <v>11</v>
      </c>
      <c r="D148" s="84" t="s">
        <v>372</v>
      </c>
      <c r="E148" s="166" t="s">
        <v>396</v>
      </c>
      <c r="F148" s="99" t="s">
        <v>400</v>
      </c>
      <c r="G148" s="99" t="s">
        <v>405</v>
      </c>
      <c r="H148" s="84" t="s">
        <v>410</v>
      </c>
      <c r="I148" s="137">
        <v>46034</v>
      </c>
      <c r="J148" s="85" t="s">
        <v>425</v>
      </c>
      <c r="K148" s="161" t="s">
        <v>149</v>
      </c>
      <c r="L148" s="84" t="s">
        <v>149</v>
      </c>
      <c r="M148" s="23" t="s">
        <v>150</v>
      </c>
      <c r="N148" s="84" t="s">
        <v>149</v>
      </c>
      <c r="O148" s="162" t="s">
        <v>41</v>
      </c>
      <c r="P148" s="163" t="s">
        <v>41</v>
      </c>
      <c r="Q148" s="163" t="s">
        <v>41</v>
      </c>
      <c r="R148" s="60" t="s">
        <v>149</v>
      </c>
      <c r="S148" s="78" t="s">
        <v>149</v>
      </c>
      <c r="T148" s="128" t="s">
        <v>149</v>
      </c>
      <c r="U148" s="31" t="s">
        <v>149</v>
      </c>
      <c r="V148" s="23" t="s">
        <v>149</v>
      </c>
      <c r="W148" s="26" t="s">
        <v>149</v>
      </c>
    </row>
    <row r="149" spans="2:23" ht="13.2">
      <c r="B149" s="83" t="s">
        <v>12</v>
      </c>
      <c r="C149" s="84" t="s">
        <v>11</v>
      </c>
      <c r="D149" s="84" t="s">
        <v>373</v>
      </c>
      <c r="E149" s="166" t="s">
        <v>396</v>
      </c>
      <c r="F149" s="99" t="s">
        <v>400</v>
      </c>
      <c r="G149" s="99" t="s">
        <v>405</v>
      </c>
      <c r="H149" s="84" t="s">
        <v>410</v>
      </c>
      <c r="I149" s="137">
        <v>46041</v>
      </c>
      <c r="J149" s="85" t="s">
        <v>425</v>
      </c>
      <c r="K149" s="161" t="s">
        <v>149</v>
      </c>
      <c r="L149" s="84" t="s">
        <v>149</v>
      </c>
      <c r="M149" s="23" t="s">
        <v>150</v>
      </c>
      <c r="N149" s="84" t="s">
        <v>149</v>
      </c>
      <c r="O149" s="162" t="s">
        <v>41</v>
      </c>
      <c r="P149" s="163" t="s">
        <v>41</v>
      </c>
      <c r="Q149" s="163" t="s">
        <v>41</v>
      </c>
      <c r="R149" s="60" t="s">
        <v>149</v>
      </c>
      <c r="S149" s="78" t="s">
        <v>149</v>
      </c>
      <c r="T149" s="128" t="s">
        <v>149</v>
      </c>
      <c r="U149" s="31" t="s">
        <v>149</v>
      </c>
      <c r="V149" s="23" t="s">
        <v>149</v>
      </c>
      <c r="W149" s="26" t="s">
        <v>149</v>
      </c>
    </row>
    <row r="150" spans="2:23" ht="13.2">
      <c r="B150" s="83" t="s">
        <v>12</v>
      </c>
      <c r="C150" s="84" t="s">
        <v>11</v>
      </c>
      <c r="D150" s="84" t="s">
        <v>374</v>
      </c>
      <c r="E150" s="166" t="s">
        <v>396</v>
      </c>
      <c r="F150" s="99" t="s">
        <v>400</v>
      </c>
      <c r="G150" s="99" t="s">
        <v>405</v>
      </c>
      <c r="H150" s="84" t="s">
        <v>410</v>
      </c>
      <c r="I150" s="137">
        <v>46048</v>
      </c>
      <c r="J150" s="85" t="s">
        <v>425</v>
      </c>
      <c r="K150" s="161" t="s">
        <v>149</v>
      </c>
      <c r="L150" s="84" t="s">
        <v>149</v>
      </c>
      <c r="M150" s="23" t="s">
        <v>150</v>
      </c>
      <c r="N150" s="84" t="s">
        <v>149</v>
      </c>
      <c r="O150" s="162" t="s">
        <v>41</v>
      </c>
      <c r="P150" s="163" t="s">
        <v>41</v>
      </c>
      <c r="Q150" s="163" t="s">
        <v>41</v>
      </c>
      <c r="R150" s="60" t="s">
        <v>149</v>
      </c>
      <c r="S150" s="78" t="s">
        <v>149</v>
      </c>
      <c r="T150" s="128" t="s">
        <v>149</v>
      </c>
      <c r="U150" s="31" t="s">
        <v>149</v>
      </c>
      <c r="V150" s="23" t="s">
        <v>149</v>
      </c>
      <c r="W150" s="26" t="s">
        <v>149</v>
      </c>
    </row>
    <row r="151" spans="2:23" ht="13.2">
      <c r="B151" s="83" t="s">
        <v>12</v>
      </c>
      <c r="C151" s="84" t="s">
        <v>11</v>
      </c>
      <c r="D151" s="84" t="s">
        <v>375</v>
      </c>
      <c r="E151" s="166" t="s">
        <v>396</v>
      </c>
      <c r="F151" s="99" t="s">
        <v>400</v>
      </c>
      <c r="G151" s="99" t="s">
        <v>405</v>
      </c>
      <c r="H151" s="84" t="s">
        <v>410</v>
      </c>
      <c r="I151" s="137">
        <v>46034</v>
      </c>
      <c r="J151" s="85" t="s">
        <v>425</v>
      </c>
      <c r="K151" s="161" t="s">
        <v>149</v>
      </c>
      <c r="L151" s="84" t="s">
        <v>149</v>
      </c>
      <c r="M151" s="23" t="s">
        <v>150</v>
      </c>
      <c r="N151" s="84" t="s">
        <v>149</v>
      </c>
      <c r="O151" s="162" t="s">
        <v>41</v>
      </c>
      <c r="P151" s="163" t="s">
        <v>41</v>
      </c>
      <c r="Q151" s="163" t="s">
        <v>41</v>
      </c>
      <c r="R151" s="60" t="s">
        <v>149</v>
      </c>
      <c r="S151" s="78" t="s">
        <v>149</v>
      </c>
      <c r="T151" s="128" t="s">
        <v>149</v>
      </c>
      <c r="U151" s="31" t="s">
        <v>149</v>
      </c>
      <c r="V151" s="23" t="s">
        <v>149</v>
      </c>
      <c r="W151" s="26" t="s">
        <v>149</v>
      </c>
    </row>
    <row r="152" spans="2:23" ht="13.2">
      <c r="B152" s="83" t="s">
        <v>12</v>
      </c>
      <c r="C152" s="84" t="s">
        <v>11</v>
      </c>
      <c r="D152" s="84" t="s">
        <v>376</v>
      </c>
      <c r="E152" s="166" t="s">
        <v>396</v>
      </c>
      <c r="F152" s="99" t="s">
        <v>400</v>
      </c>
      <c r="G152" s="99" t="s">
        <v>405</v>
      </c>
      <c r="H152" s="84" t="s">
        <v>410</v>
      </c>
      <c r="I152" s="137">
        <v>46048</v>
      </c>
      <c r="J152" s="85" t="s">
        <v>425</v>
      </c>
      <c r="K152" s="161" t="s">
        <v>149</v>
      </c>
      <c r="L152" s="84" t="s">
        <v>149</v>
      </c>
      <c r="M152" s="23" t="s">
        <v>150</v>
      </c>
      <c r="N152" s="84" t="s">
        <v>149</v>
      </c>
      <c r="O152" s="162" t="s">
        <v>41</v>
      </c>
      <c r="P152" s="163" t="s">
        <v>41</v>
      </c>
      <c r="Q152" s="163" t="s">
        <v>41</v>
      </c>
      <c r="R152" s="60" t="s">
        <v>149</v>
      </c>
      <c r="S152" s="78" t="s">
        <v>149</v>
      </c>
      <c r="T152" s="128" t="s">
        <v>149</v>
      </c>
      <c r="U152" s="31" t="s">
        <v>149</v>
      </c>
      <c r="V152" s="23" t="s">
        <v>149</v>
      </c>
      <c r="W152" s="26" t="s">
        <v>149</v>
      </c>
    </row>
    <row r="153" spans="2:23" ht="13.2">
      <c r="B153" s="83" t="s">
        <v>12</v>
      </c>
      <c r="C153" s="84" t="s">
        <v>11</v>
      </c>
      <c r="D153" s="84" t="s">
        <v>377</v>
      </c>
      <c r="E153" s="166" t="s">
        <v>396</v>
      </c>
      <c r="F153" s="99" t="s">
        <v>400</v>
      </c>
      <c r="G153" s="99" t="s">
        <v>405</v>
      </c>
      <c r="H153" s="84" t="s">
        <v>410</v>
      </c>
      <c r="I153" s="137">
        <v>46034</v>
      </c>
      <c r="J153" s="85" t="s">
        <v>425</v>
      </c>
      <c r="K153" s="161" t="s">
        <v>149</v>
      </c>
      <c r="L153" s="84" t="s">
        <v>149</v>
      </c>
      <c r="M153" s="23" t="s">
        <v>150</v>
      </c>
      <c r="N153" s="84" t="s">
        <v>149</v>
      </c>
      <c r="O153" s="162" t="s">
        <v>41</v>
      </c>
      <c r="P153" s="163" t="s">
        <v>41</v>
      </c>
      <c r="Q153" s="163" t="s">
        <v>41</v>
      </c>
      <c r="R153" s="60" t="s">
        <v>149</v>
      </c>
      <c r="S153" s="78" t="s">
        <v>149</v>
      </c>
      <c r="T153" s="128" t="s">
        <v>149</v>
      </c>
      <c r="U153" s="31" t="s">
        <v>149</v>
      </c>
      <c r="V153" s="23" t="s">
        <v>149</v>
      </c>
      <c r="W153" s="26" t="s">
        <v>149</v>
      </c>
    </row>
    <row r="154" spans="2:23" ht="13.2">
      <c r="B154" s="83" t="s">
        <v>12</v>
      </c>
      <c r="C154" s="84" t="s">
        <v>11</v>
      </c>
      <c r="D154" s="84" t="s">
        <v>378</v>
      </c>
      <c r="E154" s="166" t="s">
        <v>396</v>
      </c>
      <c r="F154" s="99" t="s">
        <v>400</v>
      </c>
      <c r="G154" s="99" t="s">
        <v>405</v>
      </c>
      <c r="H154" s="84" t="s">
        <v>410</v>
      </c>
      <c r="I154" s="137">
        <v>46048</v>
      </c>
      <c r="J154" s="85" t="s">
        <v>425</v>
      </c>
      <c r="K154" s="161" t="s">
        <v>149</v>
      </c>
      <c r="L154" s="84" t="s">
        <v>149</v>
      </c>
      <c r="M154" s="23" t="s">
        <v>150</v>
      </c>
      <c r="N154" s="84" t="s">
        <v>149</v>
      </c>
      <c r="O154" s="162" t="s">
        <v>41</v>
      </c>
      <c r="P154" s="163" t="s">
        <v>41</v>
      </c>
      <c r="Q154" s="163" t="s">
        <v>41</v>
      </c>
      <c r="R154" s="60" t="s">
        <v>149</v>
      </c>
      <c r="S154" s="78" t="s">
        <v>149</v>
      </c>
      <c r="T154" s="128" t="s">
        <v>149</v>
      </c>
      <c r="U154" s="31" t="s">
        <v>149</v>
      </c>
      <c r="V154" s="23" t="s">
        <v>149</v>
      </c>
      <c r="W154" s="26" t="s">
        <v>149</v>
      </c>
    </row>
    <row r="155" spans="2:23" ht="13.2">
      <c r="B155" s="83" t="s">
        <v>12</v>
      </c>
      <c r="C155" s="84" t="s">
        <v>11</v>
      </c>
      <c r="D155" s="84" t="s">
        <v>379</v>
      </c>
      <c r="E155" s="166" t="s">
        <v>396</v>
      </c>
      <c r="F155" s="99" t="s">
        <v>400</v>
      </c>
      <c r="G155" s="99" t="s">
        <v>405</v>
      </c>
      <c r="H155" s="84" t="s">
        <v>410</v>
      </c>
      <c r="I155" s="137">
        <v>46041</v>
      </c>
      <c r="J155" s="85" t="s">
        <v>425</v>
      </c>
      <c r="K155" s="161" t="s">
        <v>149</v>
      </c>
      <c r="L155" s="84" t="s">
        <v>149</v>
      </c>
      <c r="M155" s="23" t="s">
        <v>150</v>
      </c>
      <c r="N155" s="84" t="s">
        <v>149</v>
      </c>
      <c r="O155" s="162" t="s">
        <v>41</v>
      </c>
      <c r="P155" s="163" t="s">
        <v>41</v>
      </c>
      <c r="Q155" s="163" t="s">
        <v>41</v>
      </c>
      <c r="R155" s="60" t="s">
        <v>149</v>
      </c>
      <c r="S155" s="78" t="s">
        <v>149</v>
      </c>
      <c r="T155" s="128" t="s">
        <v>149</v>
      </c>
      <c r="U155" s="31" t="s">
        <v>149</v>
      </c>
      <c r="V155" s="23" t="s">
        <v>149</v>
      </c>
      <c r="W155" s="26" t="s">
        <v>149</v>
      </c>
    </row>
    <row r="156" spans="2:23" ht="13.2">
      <c r="B156" s="83" t="s">
        <v>12</v>
      </c>
      <c r="C156" s="84" t="s">
        <v>11</v>
      </c>
      <c r="D156" s="84" t="s">
        <v>380</v>
      </c>
      <c r="E156" s="166" t="s">
        <v>396</v>
      </c>
      <c r="F156" s="99" t="s">
        <v>400</v>
      </c>
      <c r="G156" s="99" t="s">
        <v>405</v>
      </c>
      <c r="H156" s="84" t="s">
        <v>410</v>
      </c>
      <c r="I156" s="137">
        <v>46034</v>
      </c>
      <c r="J156" s="85" t="s">
        <v>425</v>
      </c>
      <c r="K156" s="161" t="s">
        <v>149</v>
      </c>
      <c r="L156" s="84" t="s">
        <v>149</v>
      </c>
      <c r="M156" s="23" t="s">
        <v>150</v>
      </c>
      <c r="N156" s="84" t="s">
        <v>149</v>
      </c>
      <c r="O156" s="162" t="s">
        <v>41</v>
      </c>
      <c r="P156" s="163" t="s">
        <v>41</v>
      </c>
      <c r="Q156" s="163" t="s">
        <v>41</v>
      </c>
      <c r="R156" s="60" t="s">
        <v>149</v>
      </c>
      <c r="S156" s="78" t="s">
        <v>149</v>
      </c>
      <c r="T156" s="128" t="s">
        <v>149</v>
      </c>
      <c r="U156" s="31" t="s">
        <v>149</v>
      </c>
      <c r="V156" s="23" t="s">
        <v>149</v>
      </c>
      <c r="W156" s="26" t="s">
        <v>149</v>
      </c>
    </row>
    <row r="157" spans="2:23" ht="13.2">
      <c r="B157" s="83" t="s">
        <v>12</v>
      </c>
      <c r="C157" s="84" t="s">
        <v>11</v>
      </c>
      <c r="D157" s="84" t="s">
        <v>381</v>
      </c>
      <c r="E157" s="166" t="s">
        <v>396</v>
      </c>
      <c r="F157" s="99" t="s">
        <v>400</v>
      </c>
      <c r="G157" s="99" t="s">
        <v>405</v>
      </c>
      <c r="H157" s="84" t="s">
        <v>410</v>
      </c>
      <c r="I157" s="137">
        <v>46034</v>
      </c>
      <c r="J157" s="85" t="s">
        <v>425</v>
      </c>
      <c r="K157" s="161" t="s">
        <v>149</v>
      </c>
      <c r="L157" s="84" t="s">
        <v>149</v>
      </c>
      <c r="M157" s="23" t="s">
        <v>150</v>
      </c>
      <c r="N157" s="84" t="s">
        <v>149</v>
      </c>
      <c r="O157" s="162" t="s">
        <v>41</v>
      </c>
      <c r="P157" s="163" t="s">
        <v>41</v>
      </c>
      <c r="Q157" s="163" t="s">
        <v>41</v>
      </c>
      <c r="R157" s="60" t="s">
        <v>149</v>
      </c>
      <c r="S157" s="78" t="s">
        <v>149</v>
      </c>
      <c r="T157" s="128" t="s">
        <v>149</v>
      </c>
      <c r="U157" s="31" t="s">
        <v>149</v>
      </c>
      <c r="V157" s="23" t="s">
        <v>149</v>
      </c>
      <c r="W157" s="26" t="s">
        <v>149</v>
      </c>
    </row>
    <row r="158" spans="2:23" ht="13.2">
      <c r="B158" s="83" t="s">
        <v>12</v>
      </c>
      <c r="C158" s="84" t="s">
        <v>11</v>
      </c>
      <c r="D158" s="84" t="s">
        <v>382</v>
      </c>
      <c r="E158" s="166" t="s">
        <v>396</v>
      </c>
      <c r="F158" s="99" t="s">
        <v>400</v>
      </c>
      <c r="G158" s="99" t="s">
        <v>405</v>
      </c>
      <c r="H158" s="84" t="s">
        <v>410</v>
      </c>
      <c r="I158" s="137">
        <v>46034</v>
      </c>
      <c r="J158" s="85" t="s">
        <v>419</v>
      </c>
      <c r="K158" s="161" t="s">
        <v>149</v>
      </c>
      <c r="L158" s="84" t="s">
        <v>149</v>
      </c>
      <c r="M158" s="23" t="s">
        <v>150</v>
      </c>
      <c r="N158" s="84" t="s">
        <v>149</v>
      </c>
      <c r="O158" s="162" t="s">
        <v>41</v>
      </c>
      <c r="P158" s="163" t="s">
        <v>41</v>
      </c>
      <c r="Q158" s="163" t="s">
        <v>41</v>
      </c>
      <c r="R158" s="60" t="s">
        <v>149</v>
      </c>
      <c r="S158" s="78" t="s">
        <v>149</v>
      </c>
      <c r="T158" s="128" t="s">
        <v>149</v>
      </c>
      <c r="U158" s="31" t="s">
        <v>149</v>
      </c>
      <c r="V158" s="23" t="s">
        <v>149</v>
      </c>
      <c r="W158" s="26" t="s">
        <v>149</v>
      </c>
    </row>
    <row r="159" spans="2:23" ht="13.2">
      <c r="B159" s="83" t="s">
        <v>12</v>
      </c>
      <c r="C159" s="84" t="s">
        <v>11</v>
      </c>
      <c r="D159" s="84" t="s">
        <v>254</v>
      </c>
      <c r="E159" s="166" t="s">
        <v>396</v>
      </c>
      <c r="F159" s="99" t="s">
        <v>400</v>
      </c>
      <c r="G159" s="99" t="s">
        <v>405</v>
      </c>
      <c r="H159" s="84" t="s">
        <v>410</v>
      </c>
      <c r="I159" s="137">
        <v>46041</v>
      </c>
      <c r="J159" s="85" t="s">
        <v>419</v>
      </c>
      <c r="K159" s="161" t="s">
        <v>149</v>
      </c>
      <c r="L159" s="84" t="s">
        <v>149</v>
      </c>
      <c r="M159" s="23" t="s">
        <v>150</v>
      </c>
      <c r="N159" s="84" t="s">
        <v>149</v>
      </c>
      <c r="O159" s="162" t="s">
        <v>41</v>
      </c>
      <c r="P159" s="163" t="s">
        <v>41</v>
      </c>
      <c r="Q159" s="163" t="s">
        <v>41</v>
      </c>
      <c r="R159" s="60" t="s">
        <v>149</v>
      </c>
      <c r="S159" s="78" t="s">
        <v>149</v>
      </c>
      <c r="T159" s="128" t="s">
        <v>149</v>
      </c>
      <c r="U159" s="31" t="s">
        <v>149</v>
      </c>
      <c r="V159" s="23" t="s">
        <v>149</v>
      </c>
      <c r="W159" s="26" t="s">
        <v>149</v>
      </c>
    </row>
    <row r="160" spans="2:23" ht="13.2">
      <c r="B160" s="83" t="s">
        <v>12</v>
      </c>
      <c r="C160" s="84" t="s">
        <v>11</v>
      </c>
      <c r="D160" s="84" t="s">
        <v>383</v>
      </c>
      <c r="E160" s="166" t="s">
        <v>396</v>
      </c>
      <c r="F160" s="99" t="s">
        <v>400</v>
      </c>
      <c r="G160" s="99" t="s">
        <v>405</v>
      </c>
      <c r="H160" s="84" t="s">
        <v>410</v>
      </c>
      <c r="I160" s="137">
        <v>46048</v>
      </c>
      <c r="J160" s="85" t="s">
        <v>419</v>
      </c>
      <c r="K160" s="161" t="s">
        <v>149</v>
      </c>
      <c r="L160" s="84" t="s">
        <v>149</v>
      </c>
      <c r="M160" s="23" t="s">
        <v>150</v>
      </c>
      <c r="N160" s="84" t="s">
        <v>149</v>
      </c>
      <c r="O160" s="162" t="s">
        <v>41</v>
      </c>
      <c r="P160" s="163" t="s">
        <v>41</v>
      </c>
      <c r="Q160" s="163" t="s">
        <v>41</v>
      </c>
      <c r="R160" s="60" t="s">
        <v>149</v>
      </c>
      <c r="S160" s="78" t="s">
        <v>149</v>
      </c>
      <c r="T160" s="128" t="s">
        <v>149</v>
      </c>
      <c r="U160" s="31" t="s">
        <v>149</v>
      </c>
      <c r="V160" s="23" t="s">
        <v>149</v>
      </c>
      <c r="W160" s="26" t="s">
        <v>149</v>
      </c>
    </row>
    <row r="161" spans="2:23" ht="13.2">
      <c r="B161" s="83" t="s">
        <v>12</v>
      </c>
      <c r="C161" s="84" t="s">
        <v>11</v>
      </c>
      <c r="D161" s="84" t="s">
        <v>384</v>
      </c>
      <c r="E161" s="166" t="s">
        <v>396</v>
      </c>
      <c r="F161" s="99" t="s">
        <v>400</v>
      </c>
      <c r="G161" s="99" t="s">
        <v>405</v>
      </c>
      <c r="H161" s="84" t="s">
        <v>410</v>
      </c>
      <c r="I161" s="137">
        <v>46041</v>
      </c>
      <c r="J161" s="85" t="s">
        <v>419</v>
      </c>
      <c r="K161" s="161" t="s">
        <v>149</v>
      </c>
      <c r="L161" s="84" t="s">
        <v>149</v>
      </c>
      <c r="M161" s="23" t="s">
        <v>150</v>
      </c>
      <c r="N161" s="84" t="s">
        <v>149</v>
      </c>
      <c r="O161" s="162" t="s">
        <v>41</v>
      </c>
      <c r="P161" s="163" t="s">
        <v>41</v>
      </c>
      <c r="Q161" s="163" t="s">
        <v>41</v>
      </c>
      <c r="R161" s="60" t="s">
        <v>149</v>
      </c>
      <c r="S161" s="78" t="s">
        <v>149</v>
      </c>
      <c r="T161" s="128" t="s">
        <v>149</v>
      </c>
      <c r="U161" s="31" t="s">
        <v>149</v>
      </c>
      <c r="V161" s="23" t="s">
        <v>149</v>
      </c>
      <c r="W161" s="26" t="s">
        <v>149</v>
      </c>
    </row>
    <row r="162" spans="2:23" ht="13.2">
      <c r="B162" s="83" t="s">
        <v>12</v>
      </c>
      <c r="C162" s="84" t="s">
        <v>11</v>
      </c>
      <c r="D162" s="84" t="s">
        <v>385</v>
      </c>
      <c r="E162" s="166" t="s">
        <v>396</v>
      </c>
      <c r="F162" s="99" t="s">
        <v>400</v>
      </c>
      <c r="G162" s="99" t="s">
        <v>405</v>
      </c>
      <c r="H162" s="84" t="s">
        <v>410</v>
      </c>
      <c r="I162" s="137">
        <v>46041</v>
      </c>
      <c r="J162" s="85" t="s">
        <v>419</v>
      </c>
      <c r="K162" s="161" t="s">
        <v>149</v>
      </c>
      <c r="L162" s="84" t="s">
        <v>149</v>
      </c>
      <c r="M162" s="23" t="s">
        <v>150</v>
      </c>
      <c r="N162" s="84" t="s">
        <v>149</v>
      </c>
      <c r="O162" s="162" t="s">
        <v>41</v>
      </c>
      <c r="P162" s="163" t="s">
        <v>41</v>
      </c>
      <c r="Q162" s="163" t="s">
        <v>41</v>
      </c>
      <c r="R162" s="60" t="s">
        <v>149</v>
      </c>
      <c r="S162" s="78" t="s">
        <v>149</v>
      </c>
      <c r="T162" s="128" t="s">
        <v>149</v>
      </c>
      <c r="U162" s="31" t="s">
        <v>149</v>
      </c>
      <c r="V162" s="23" t="s">
        <v>149</v>
      </c>
      <c r="W162" s="26" t="s">
        <v>149</v>
      </c>
    </row>
    <row r="163" spans="2:23" ht="13.2">
      <c r="B163" s="83" t="s">
        <v>12</v>
      </c>
      <c r="C163" s="84" t="s">
        <v>11</v>
      </c>
      <c r="D163" s="84" t="s">
        <v>386</v>
      </c>
      <c r="E163" s="166" t="s">
        <v>396</v>
      </c>
      <c r="F163" s="99" t="s">
        <v>400</v>
      </c>
      <c r="G163" s="99" t="s">
        <v>405</v>
      </c>
      <c r="H163" s="84" t="s">
        <v>410</v>
      </c>
      <c r="I163" s="137">
        <v>46048</v>
      </c>
      <c r="J163" s="85" t="s">
        <v>419</v>
      </c>
      <c r="K163" s="161" t="s">
        <v>149</v>
      </c>
      <c r="L163" s="84" t="s">
        <v>149</v>
      </c>
      <c r="M163" s="23" t="s">
        <v>150</v>
      </c>
      <c r="N163" s="84" t="s">
        <v>149</v>
      </c>
      <c r="O163" s="162" t="s">
        <v>41</v>
      </c>
      <c r="P163" s="163" t="s">
        <v>41</v>
      </c>
      <c r="Q163" s="163" t="s">
        <v>41</v>
      </c>
      <c r="R163" s="60" t="s">
        <v>149</v>
      </c>
      <c r="S163" s="78" t="s">
        <v>149</v>
      </c>
      <c r="T163" s="128" t="s">
        <v>149</v>
      </c>
      <c r="U163" s="31" t="s">
        <v>149</v>
      </c>
      <c r="V163" s="23" t="s">
        <v>149</v>
      </c>
      <c r="W163" s="26" t="s">
        <v>149</v>
      </c>
    </row>
    <row r="164" spans="2:23" ht="13.2">
      <c r="B164" s="83" t="s">
        <v>12</v>
      </c>
      <c r="C164" s="84" t="s">
        <v>11</v>
      </c>
      <c r="D164" s="84" t="s">
        <v>387</v>
      </c>
      <c r="E164" s="166" t="s">
        <v>396</v>
      </c>
      <c r="F164" s="99" t="s">
        <v>400</v>
      </c>
      <c r="G164" s="99" t="s">
        <v>405</v>
      </c>
      <c r="H164" s="84" t="s">
        <v>410</v>
      </c>
      <c r="I164" s="137">
        <v>46034</v>
      </c>
      <c r="J164" s="85" t="s">
        <v>419</v>
      </c>
      <c r="K164" s="161" t="s">
        <v>149</v>
      </c>
      <c r="L164" s="84" t="s">
        <v>149</v>
      </c>
      <c r="M164" s="23" t="s">
        <v>150</v>
      </c>
      <c r="N164" s="84" t="s">
        <v>149</v>
      </c>
      <c r="O164" s="162" t="s">
        <v>41</v>
      </c>
      <c r="P164" s="163" t="s">
        <v>41</v>
      </c>
      <c r="Q164" s="163" t="s">
        <v>41</v>
      </c>
      <c r="R164" s="60" t="s">
        <v>149</v>
      </c>
      <c r="S164" s="78" t="s">
        <v>149</v>
      </c>
      <c r="T164" s="128" t="s">
        <v>149</v>
      </c>
      <c r="U164" s="31" t="s">
        <v>149</v>
      </c>
      <c r="V164" s="23" t="s">
        <v>149</v>
      </c>
      <c r="W164" s="26" t="s">
        <v>149</v>
      </c>
    </row>
    <row r="165" spans="2:23" ht="13.2">
      <c r="B165" s="83" t="s">
        <v>12</v>
      </c>
      <c r="C165" s="84" t="s">
        <v>11</v>
      </c>
      <c r="D165" s="84" t="s">
        <v>388</v>
      </c>
      <c r="E165" s="166" t="s">
        <v>396</v>
      </c>
      <c r="F165" s="99" t="s">
        <v>400</v>
      </c>
      <c r="G165" s="99" t="s">
        <v>405</v>
      </c>
      <c r="H165" s="84" t="s">
        <v>410</v>
      </c>
      <c r="I165" s="137">
        <v>46041</v>
      </c>
      <c r="J165" s="85" t="s">
        <v>419</v>
      </c>
      <c r="K165" s="161" t="s">
        <v>149</v>
      </c>
      <c r="L165" s="84" t="s">
        <v>149</v>
      </c>
      <c r="M165" s="23" t="s">
        <v>150</v>
      </c>
      <c r="N165" s="84" t="s">
        <v>149</v>
      </c>
      <c r="O165" s="162" t="s">
        <v>41</v>
      </c>
      <c r="P165" s="163" t="s">
        <v>41</v>
      </c>
      <c r="Q165" s="163" t="s">
        <v>41</v>
      </c>
      <c r="R165" s="60" t="s">
        <v>149</v>
      </c>
      <c r="S165" s="78" t="s">
        <v>149</v>
      </c>
      <c r="T165" s="128" t="s">
        <v>149</v>
      </c>
      <c r="U165" s="31" t="s">
        <v>149</v>
      </c>
      <c r="V165" s="23" t="s">
        <v>149</v>
      </c>
      <c r="W165" s="26" t="s">
        <v>149</v>
      </c>
    </row>
    <row r="166" spans="2:23" ht="13.2">
      <c r="B166" s="83" t="s">
        <v>12</v>
      </c>
      <c r="C166" s="84" t="s">
        <v>11</v>
      </c>
      <c r="D166" s="84" t="s">
        <v>389</v>
      </c>
      <c r="E166" s="166" t="s">
        <v>396</v>
      </c>
      <c r="F166" s="99" t="s">
        <v>400</v>
      </c>
      <c r="G166" s="99" t="s">
        <v>405</v>
      </c>
      <c r="H166" s="84" t="s">
        <v>410</v>
      </c>
      <c r="I166" s="137">
        <v>46048</v>
      </c>
      <c r="J166" s="85" t="s">
        <v>419</v>
      </c>
      <c r="K166" s="161" t="s">
        <v>149</v>
      </c>
      <c r="L166" s="84" t="s">
        <v>149</v>
      </c>
      <c r="M166" s="23" t="s">
        <v>150</v>
      </c>
      <c r="N166" s="84" t="s">
        <v>149</v>
      </c>
      <c r="O166" s="162" t="s">
        <v>41</v>
      </c>
      <c r="P166" s="163" t="s">
        <v>41</v>
      </c>
      <c r="Q166" s="163" t="s">
        <v>41</v>
      </c>
      <c r="R166" s="60" t="s">
        <v>149</v>
      </c>
      <c r="S166" s="78" t="s">
        <v>149</v>
      </c>
      <c r="T166" s="128" t="s">
        <v>149</v>
      </c>
      <c r="U166" s="31" t="s">
        <v>149</v>
      </c>
      <c r="V166" s="23" t="s">
        <v>149</v>
      </c>
      <c r="W166" s="26" t="s">
        <v>149</v>
      </c>
    </row>
    <row r="167" spans="2:23" ht="13.2">
      <c r="B167" s="83" t="s">
        <v>12</v>
      </c>
      <c r="C167" s="84" t="s">
        <v>11</v>
      </c>
      <c r="D167" s="84" t="s">
        <v>390</v>
      </c>
      <c r="E167" s="166" t="s">
        <v>396</v>
      </c>
      <c r="F167" s="99" t="s">
        <v>400</v>
      </c>
      <c r="G167" s="99" t="s">
        <v>405</v>
      </c>
      <c r="H167" s="84" t="s">
        <v>410</v>
      </c>
      <c r="I167" s="137">
        <v>46034</v>
      </c>
      <c r="J167" s="85" t="s">
        <v>419</v>
      </c>
      <c r="K167" s="161" t="s">
        <v>149</v>
      </c>
      <c r="L167" s="84" t="s">
        <v>149</v>
      </c>
      <c r="M167" s="23" t="s">
        <v>150</v>
      </c>
      <c r="N167" s="84" t="s">
        <v>149</v>
      </c>
      <c r="O167" s="162" t="s">
        <v>41</v>
      </c>
      <c r="P167" s="163" t="s">
        <v>41</v>
      </c>
      <c r="Q167" s="163" t="s">
        <v>41</v>
      </c>
      <c r="R167" s="60" t="s">
        <v>149</v>
      </c>
      <c r="S167" s="78" t="s">
        <v>149</v>
      </c>
      <c r="T167" s="128" t="s">
        <v>149</v>
      </c>
      <c r="U167" s="31" t="s">
        <v>149</v>
      </c>
      <c r="V167" s="23" t="s">
        <v>149</v>
      </c>
      <c r="W167" s="26" t="s">
        <v>149</v>
      </c>
    </row>
    <row r="168" spans="2:23" ht="13.2">
      <c r="B168" s="83" t="s">
        <v>12</v>
      </c>
      <c r="C168" s="84" t="s">
        <v>11</v>
      </c>
      <c r="D168" s="84" t="s">
        <v>391</v>
      </c>
      <c r="E168" s="166" t="s">
        <v>396</v>
      </c>
      <c r="F168" s="99" t="s">
        <v>400</v>
      </c>
      <c r="G168" s="99" t="s">
        <v>405</v>
      </c>
      <c r="H168" s="84" t="s">
        <v>410</v>
      </c>
      <c r="I168" s="137">
        <v>46034</v>
      </c>
      <c r="J168" s="85" t="s">
        <v>419</v>
      </c>
      <c r="K168" s="161" t="s">
        <v>149</v>
      </c>
      <c r="L168" s="84" t="s">
        <v>149</v>
      </c>
      <c r="M168" s="23" t="s">
        <v>150</v>
      </c>
      <c r="N168" s="84" t="s">
        <v>149</v>
      </c>
      <c r="O168" s="162" t="s">
        <v>41</v>
      </c>
      <c r="P168" s="163" t="s">
        <v>41</v>
      </c>
      <c r="Q168" s="163" t="s">
        <v>41</v>
      </c>
      <c r="R168" s="60" t="s">
        <v>149</v>
      </c>
      <c r="S168" s="78" t="s">
        <v>149</v>
      </c>
      <c r="T168" s="128" t="s">
        <v>149</v>
      </c>
      <c r="U168" s="31" t="s">
        <v>149</v>
      </c>
      <c r="V168" s="23" t="s">
        <v>149</v>
      </c>
      <c r="W168" s="26" t="s">
        <v>149</v>
      </c>
    </row>
    <row r="169" spans="2:23" ht="13.2">
      <c r="B169" s="83" t="s">
        <v>12</v>
      </c>
      <c r="C169" s="84" t="s">
        <v>11</v>
      </c>
      <c r="D169" s="84" t="s">
        <v>392</v>
      </c>
      <c r="E169" s="166" t="s">
        <v>396</v>
      </c>
      <c r="F169" s="99" t="s">
        <v>400</v>
      </c>
      <c r="G169" s="99" t="s">
        <v>405</v>
      </c>
      <c r="H169" s="84" t="s">
        <v>410</v>
      </c>
      <c r="I169" s="137">
        <v>46048</v>
      </c>
      <c r="J169" s="85" t="s">
        <v>419</v>
      </c>
      <c r="K169" s="161" t="s">
        <v>149</v>
      </c>
      <c r="L169" s="84" t="s">
        <v>149</v>
      </c>
      <c r="M169" s="23" t="s">
        <v>150</v>
      </c>
      <c r="N169" s="84" t="s">
        <v>149</v>
      </c>
      <c r="O169" s="162" t="s">
        <v>41</v>
      </c>
      <c r="P169" s="163" t="s">
        <v>41</v>
      </c>
      <c r="Q169" s="163" t="s">
        <v>41</v>
      </c>
      <c r="R169" s="60" t="s">
        <v>149</v>
      </c>
      <c r="S169" s="78" t="s">
        <v>149</v>
      </c>
      <c r="T169" s="128" t="s">
        <v>149</v>
      </c>
      <c r="U169" s="31" t="s">
        <v>149</v>
      </c>
      <c r="V169" s="23" t="s">
        <v>149</v>
      </c>
      <c r="W169" s="26" t="s">
        <v>149</v>
      </c>
    </row>
    <row r="170" spans="2:23" ht="13.2">
      <c r="B170" s="83" t="s">
        <v>12</v>
      </c>
      <c r="C170" s="84" t="s">
        <v>11</v>
      </c>
      <c r="D170" s="84" t="s">
        <v>393</v>
      </c>
      <c r="E170" s="166" t="s">
        <v>396</v>
      </c>
      <c r="F170" s="99" t="s">
        <v>400</v>
      </c>
      <c r="G170" s="99" t="s">
        <v>405</v>
      </c>
      <c r="H170" s="84" t="s">
        <v>410</v>
      </c>
      <c r="I170" s="137">
        <v>46034</v>
      </c>
      <c r="J170" s="85" t="s">
        <v>419</v>
      </c>
      <c r="K170" s="161" t="s">
        <v>149</v>
      </c>
      <c r="L170" s="84" t="s">
        <v>149</v>
      </c>
      <c r="M170" s="23" t="s">
        <v>150</v>
      </c>
      <c r="N170" s="84" t="s">
        <v>149</v>
      </c>
      <c r="O170" s="162" t="s">
        <v>41</v>
      </c>
      <c r="P170" s="163" t="s">
        <v>41</v>
      </c>
      <c r="Q170" s="163" t="s">
        <v>41</v>
      </c>
      <c r="R170" s="60" t="s">
        <v>149</v>
      </c>
      <c r="S170" s="78" t="s">
        <v>149</v>
      </c>
      <c r="T170" s="128" t="s">
        <v>149</v>
      </c>
      <c r="U170" s="31" t="s">
        <v>149</v>
      </c>
      <c r="V170" s="23" t="s">
        <v>149</v>
      </c>
      <c r="W170" s="26" t="s">
        <v>149</v>
      </c>
    </row>
    <row r="171" spans="2:23" ht="13.2">
      <c r="B171" s="83" t="s">
        <v>12</v>
      </c>
      <c r="C171" s="84" t="s">
        <v>11</v>
      </c>
      <c r="D171" s="84" t="s">
        <v>394</v>
      </c>
      <c r="E171" s="166" t="s">
        <v>396</v>
      </c>
      <c r="F171" s="99" t="s">
        <v>400</v>
      </c>
      <c r="G171" s="99" t="s">
        <v>405</v>
      </c>
      <c r="H171" s="84" t="s">
        <v>410</v>
      </c>
      <c r="I171" s="137">
        <v>46041</v>
      </c>
      <c r="J171" s="85" t="s">
        <v>419</v>
      </c>
      <c r="K171" s="161" t="s">
        <v>149</v>
      </c>
      <c r="L171" s="84" t="s">
        <v>149</v>
      </c>
      <c r="M171" s="23" t="s">
        <v>150</v>
      </c>
      <c r="N171" s="84" t="s">
        <v>149</v>
      </c>
      <c r="O171" s="162" t="s">
        <v>41</v>
      </c>
      <c r="P171" s="163" t="s">
        <v>41</v>
      </c>
      <c r="Q171" s="163" t="s">
        <v>41</v>
      </c>
      <c r="R171" s="60" t="s">
        <v>149</v>
      </c>
      <c r="S171" s="78" t="s">
        <v>149</v>
      </c>
      <c r="T171" s="128" t="s">
        <v>149</v>
      </c>
      <c r="U171" s="31" t="s">
        <v>149</v>
      </c>
      <c r="V171" s="23" t="s">
        <v>149</v>
      </c>
      <c r="W171" s="26" t="s">
        <v>149</v>
      </c>
    </row>
    <row r="172" spans="2:23" ht="13.2">
      <c r="B172" s="83" t="s">
        <v>12</v>
      </c>
      <c r="C172" s="84" t="s">
        <v>11</v>
      </c>
      <c r="D172" s="84" t="s">
        <v>395</v>
      </c>
      <c r="E172" s="166" t="s">
        <v>396</v>
      </c>
      <c r="F172" s="99" t="s">
        <v>400</v>
      </c>
      <c r="G172" s="99" t="s">
        <v>405</v>
      </c>
      <c r="H172" s="84" t="s">
        <v>410</v>
      </c>
      <c r="I172" s="137">
        <v>46048</v>
      </c>
      <c r="J172" s="85" t="s">
        <v>419</v>
      </c>
      <c r="K172" s="161" t="s">
        <v>149</v>
      </c>
      <c r="L172" s="84" t="s">
        <v>149</v>
      </c>
      <c r="M172" s="23" t="s">
        <v>150</v>
      </c>
      <c r="N172" s="84" t="s">
        <v>149</v>
      </c>
      <c r="O172" s="162" t="s">
        <v>41</v>
      </c>
      <c r="P172" s="163" t="s">
        <v>41</v>
      </c>
      <c r="Q172" s="163" t="s">
        <v>41</v>
      </c>
      <c r="R172" s="60" t="s">
        <v>149</v>
      </c>
      <c r="S172" s="78" t="s">
        <v>149</v>
      </c>
      <c r="T172" s="128" t="s">
        <v>149</v>
      </c>
      <c r="U172" s="31" t="s">
        <v>149</v>
      </c>
      <c r="V172" s="23" t="s">
        <v>149</v>
      </c>
      <c r="W172" s="26" t="s">
        <v>149</v>
      </c>
    </row>
    <row r="173" spans="2:23" ht="13.2">
      <c r="B173" s="83" t="s">
        <v>12</v>
      </c>
      <c r="C173" s="84" t="s">
        <v>11</v>
      </c>
      <c r="D173" s="84" t="s">
        <v>397</v>
      </c>
      <c r="E173" s="166" t="s">
        <v>159</v>
      </c>
      <c r="F173" s="99" t="s">
        <v>400</v>
      </c>
      <c r="G173" s="99" t="s">
        <v>404</v>
      </c>
      <c r="H173" s="84" t="s">
        <v>410</v>
      </c>
      <c r="I173" s="137">
        <v>46091</v>
      </c>
      <c r="J173" s="85" t="s">
        <v>424</v>
      </c>
      <c r="K173" s="161" t="s">
        <v>149</v>
      </c>
      <c r="L173" s="60" t="s">
        <v>150</v>
      </c>
      <c r="M173" s="60" t="s">
        <v>149</v>
      </c>
      <c r="N173" s="84" t="s">
        <v>149</v>
      </c>
      <c r="O173" s="162" t="s">
        <v>41</v>
      </c>
      <c r="P173" s="163" t="s">
        <v>41</v>
      </c>
      <c r="Q173" s="163" t="s">
        <v>41</v>
      </c>
      <c r="R173" s="60" t="s">
        <v>149</v>
      </c>
      <c r="S173" s="78" t="s">
        <v>149</v>
      </c>
      <c r="T173" s="128" t="s">
        <v>149</v>
      </c>
      <c r="U173" s="31" t="s">
        <v>149</v>
      </c>
      <c r="V173" s="23" t="s">
        <v>149</v>
      </c>
      <c r="W173" s="26" t="s">
        <v>149</v>
      </c>
    </row>
    <row r="174" spans="2:23" ht="13.2">
      <c r="B174" s="83" t="s">
        <v>12</v>
      </c>
      <c r="C174" s="84" t="s">
        <v>11</v>
      </c>
      <c r="D174" s="84" t="s">
        <v>398</v>
      </c>
      <c r="E174" s="166" t="s">
        <v>159</v>
      </c>
      <c r="F174" s="99" t="s">
        <v>400</v>
      </c>
      <c r="G174" s="99" t="s">
        <v>404</v>
      </c>
      <c r="H174" s="84" t="s">
        <v>410</v>
      </c>
      <c r="I174" s="137">
        <v>46091</v>
      </c>
      <c r="J174" s="85" t="s">
        <v>424</v>
      </c>
      <c r="K174" s="161" t="s">
        <v>149</v>
      </c>
      <c r="L174" s="60" t="s">
        <v>150</v>
      </c>
      <c r="M174" s="60" t="s">
        <v>149</v>
      </c>
      <c r="N174" s="84" t="s">
        <v>149</v>
      </c>
      <c r="O174" s="162" t="s">
        <v>41</v>
      </c>
      <c r="P174" s="163" t="s">
        <v>41</v>
      </c>
      <c r="Q174" s="163" t="s">
        <v>41</v>
      </c>
      <c r="R174" s="60" t="s">
        <v>149</v>
      </c>
      <c r="S174" s="78" t="s">
        <v>149</v>
      </c>
      <c r="T174" s="128" t="s">
        <v>149</v>
      </c>
      <c r="U174" s="31" t="s">
        <v>149</v>
      </c>
      <c r="V174" s="23" t="s">
        <v>149</v>
      </c>
      <c r="W174" s="26" t="s">
        <v>149</v>
      </c>
    </row>
    <row r="175" spans="2:23" ht="13.2">
      <c r="B175" s="83" t="s">
        <v>12</v>
      </c>
      <c r="C175" s="84" t="s">
        <v>11</v>
      </c>
      <c r="D175" s="84" t="s">
        <v>399</v>
      </c>
      <c r="E175" s="166" t="s">
        <v>159</v>
      </c>
      <c r="F175" s="99" t="s">
        <v>400</v>
      </c>
      <c r="G175" s="99" t="s">
        <v>404</v>
      </c>
      <c r="H175" s="84" t="s">
        <v>410</v>
      </c>
      <c r="I175" s="137">
        <v>46091</v>
      </c>
      <c r="J175" s="85" t="s">
        <v>424</v>
      </c>
      <c r="K175" s="161" t="s">
        <v>149</v>
      </c>
      <c r="L175" s="60" t="s">
        <v>150</v>
      </c>
      <c r="M175" s="60" t="s">
        <v>149</v>
      </c>
      <c r="N175" s="84" t="s">
        <v>149</v>
      </c>
      <c r="O175" s="162" t="s">
        <v>41</v>
      </c>
      <c r="P175" s="163" t="s">
        <v>41</v>
      </c>
      <c r="Q175" s="163" t="s">
        <v>41</v>
      </c>
      <c r="R175" s="60" t="s">
        <v>149</v>
      </c>
      <c r="S175" s="78" t="s">
        <v>149</v>
      </c>
      <c r="T175" s="128" t="s">
        <v>149</v>
      </c>
      <c r="U175" s="31" t="s">
        <v>149</v>
      </c>
      <c r="V175" s="23" t="s">
        <v>149</v>
      </c>
      <c r="W175" s="26" t="s">
        <v>149</v>
      </c>
    </row>
    <row r="176" spans="2:23" ht="13.2">
      <c r="B176" s="83" t="s">
        <v>8</v>
      </c>
      <c r="C176" s="84" t="s">
        <v>7</v>
      </c>
      <c r="D176" s="84" t="s">
        <v>261</v>
      </c>
      <c r="E176" s="84" t="s">
        <v>159</v>
      </c>
      <c r="F176" s="99" t="s">
        <v>400</v>
      </c>
      <c r="G176" s="99" t="s">
        <v>405</v>
      </c>
      <c r="H176" s="84" t="s">
        <v>288</v>
      </c>
      <c r="I176" s="137">
        <v>46063</v>
      </c>
      <c r="J176" s="85" t="s">
        <v>413</v>
      </c>
      <c r="K176" s="161" t="s">
        <v>149</v>
      </c>
      <c r="L176" s="60" t="s">
        <v>150</v>
      </c>
      <c r="M176" s="60" t="s">
        <v>149</v>
      </c>
      <c r="N176" s="84" t="s">
        <v>149</v>
      </c>
      <c r="O176" s="162" t="s">
        <v>41</v>
      </c>
      <c r="P176" s="163" t="s">
        <v>41</v>
      </c>
      <c r="Q176" s="163" t="s">
        <v>41</v>
      </c>
      <c r="R176" s="60" t="s">
        <v>149</v>
      </c>
      <c r="S176" s="78" t="s">
        <v>149</v>
      </c>
      <c r="T176" s="128" t="s">
        <v>149</v>
      </c>
      <c r="U176" s="31" t="s">
        <v>149</v>
      </c>
      <c r="V176" s="23" t="s">
        <v>149</v>
      </c>
      <c r="W176" s="26" t="s">
        <v>149</v>
      </c>
    </row>
    <row r="177" spans="2:24" ht="13.2">
      <c r="B177" s="83" t="s">
        <v>8</v>
      </c>
      <c r="C177" s="84" t="s">
        <v>7</v>
      </c>
      <c r="D177" s="84" t="s">
        <v>261</v>
      </c>
      <c r="E177" s="84" t="s">
        <v>262</v>
      </c>
      <c r="F177" s="99" t="s">
        <v>400</v>
      </c>
      <c r="G177" s="99" t="s">
        <v>405</v>
      </c>
      <c r="H177" s="84" t="s">
        <v>289</v>
      </c>
      <c r="I177" s="137">
        <v>46065</v>
      </c>
      <c r="J177" s="85" t="s">
        <v>413</v>
      </c>
      <c r="K177" s="161" t="s">
        <v>149</v>
      </c>
      <c r="L177" s="84" t="s">
        <v>150</v>
      </c>
      <c r="M177" s="23" t="s">
        <v>150</v>
      </c>
      <c r="N177" s="84" t="s">
        <v>149</v>
      </c>
      <c r="O177" s="162" t="s">
        <v>41</v>
      </c>
      <c r="P177" s="163" t="s">
        <v>41</v>
      </c>
      <c r="Q177" s="163" t="s">
        <v>41</v>
      </c>
      <c r="R177" s="60" t="s">
        <v>149</v>
      </c>
      <c r="S177" s="78" t="s">
        <v>149</v>
      </c>
      <c r="T177" s="128" t="s">
        <v>149</v>
      </c>
      <c r="U177" s="31" t="s">
        <v>149</v>
      </c>
      <c r="V177" s="23" t="s">
        <v>149</v>
      </c>
      <c r="W177" s="26" t="s">
        <v>149</v>
      </c>
    </row>
    <row r="178" spans="2:24" ht="13.2">
      <c r="B178" s="83" t="s">
        <v>8</v>
      </c>
      <c r="C178" s="84" t="s">
        <v>7</v>
      </c>
      <c r="D178" s="84" t="s">
        <v>261</v>
      </c>
      <c r="E178" s="84" t="s">
        <v>263</v>
      </c>
      <c r="F178" s="99" t="s">
        <v>400</v>
      </c>
      <c r="G178" s="99" t="s">
        <v>405</v>
      </c>
      <c r="H178" s="84" t="s">
        <v>289</v>
      </c>
      <c r="I178" s="137">
        <v>46065</v>
      </c>
      <c r="J178" s="85" t="s">
        <v>413</v>
      </c>
      <c r="K178" s="161" t="s">
        <v>149</v>
      </c>
      <c r="L178" s="84" t="s">
        <v>150</v>
      </c>
      <c r="M178" s="23" t="s">
        <v>150</v>
      </c>
      <c r="N178" s="84" t="s">
        <v>149</v>
      </c>
      <c r="O178" s="162" t="s">
        <v>41</v>
      </c>
      <c r="P178" s="163" t="s">
        <v>41</v>
      </c>
      <c r="Q178" s="163" t="s">
        <v>41</v>
      </c>
      <c r="R178" s="60" t="s">
        <v>149</v>
      </c>
      <c r="S178" s="78" t="s">
        <v>149</v>
      </c>
      <c r="T178" s="128" t="s">
        <v>149</v>
      </c>
      <c r="U178" s="31" t="s">
        <v>149</v>
      </c>
      <c r="V178" s="23" t="s">
        <v>149</v>
      </c>
      <c r="W178" s="26" t="s">
        <v>149</v>
      </c>
    </row>
    <row r="179" spans="2:24" ht="13.2">
      <c r="B179" s="83" t="s">
        <v>8</v>
      </c>
      <c r="C179" s="84" t="s">
        <v>7</v>
      </c>
      <c r="D179" s="84" t="s">
        <v>261</v>
      </c>
      <c r="E179" s="24" t="s">
        <v>314</v>
      </c>
      <c r="F179" s="99" t="s">
        <v>400</v>
      </c>
      <c r="G179" s="99" t="s">
        <v>405</v>
      </c>
      <c r="H179" s="84" t="s">
        <v>290</v>
      </c>
      <c r="I179" s="137">
        <v>46063</v>
      </c>
      <c r="J179" s="85" t="s">
        <v>413</v>
      </c>
      <c r="K179" s="161" t="s">
        <v>149</v>
      </c>
      <c r="L179" s="84" t="s">
        <v>426</v>
      </c>
      <c r="M179" s="23" t="s">
        <v>150</v>
      </c>
      <c r="N179" s="84" t="s">
        <v>149</v>
      </c>
      <c r="O179" s="162" t="s">
        <v>41</v>
      </c>
      <c r="P179" s="163" t="s">
        <v>41</v>
      </c>
      <c r="Q179" s="163" t="s">
        <v>41</v>
      </c>
      <c r="R179" s="60" t="s">
        <v>149</v>
      </c>
      <c r="S179" s="78" t="s">
        <v>149</v>
      </c>
      <c r="T179" s="128" t="s">
        <v>149</v>
      </c>
      <c r="U179" s="31" t="s">
        <v>149</v>
      </c>
      <c r="V179" s="23" t="s">
        <v>149</v>
      </c>
      <c r="W179" s="26" t="s">
        <v>149</v>
      </c>
    </row>
    <row r="180" spans="2:24" ht="13.2">
      <c r="B180" s="83" t="s">
        <v>18</v>
      </c>
      <c r="C180" s="84" t="s">
        <v>17</v>
      </c>
      <c r="D180" s="84" t="s">
        <v>264</v>
      </c>
      <c r="E180" s="84" t="s">
        <v>159</v>
      </c>
      <c r="F180" s="99" t="s">
        <v>400</v>
      </c>
      <c r="G180" s="99" t="s">
        <v>405</v>
      </c>
      <c r="H180" s="84" t="s">
        <v>407</v>
      </c>
      <c r="I180" s="137">
        <v>46120</v>
      </c>
      <c r="J180" s="85" t="s">
        <v>414</v>
      </c>
      <c r="K180" s="161" t="s">
        <v>149</v>
      </c>
      <c r="L180" s="60" t="s">
        <v>150</v>
      </c>
      <c r="M180" s="60" t="s">
        <v>149</v>
      </c>
      <c r="N180" s="84" t="s">
        <v>149</v>
      </c>
      <c r="O180" s="162" t="s">
        <v>41</v>
      </c>
      <c r="P180" s="163" t="s">
        <v>41</v>
      </c>
      <c r="Q180" s="163" t="s">
        <v>41</v>
      </c>
      <c r="R180" s="60" t="s">
        <v>149</v>
      </c>
      <c r="S180" s="78" t="s">
        <v>149</v>
      </c>
      <c r="T180" s="128" t="s">
        <v>149</v>
      </c>
      <c r="U180" s="31" t="s">
        <v>149</v>
      </c>
      <c r="V180" s="23" t="s">
        <v>149</v>
      </c>
      <c r="W180" s="26" t="s">
        <v>149</v>
      </c>
    </row>
    <row r="181" spans="2:24" ht="13.2">
      <c r="B181" s="83" t="s">
        <v>18</v>
      </c>
      <c r="C181" s="84" t="s">
        <v>17</v>
      </c>
      <c r="D181" s="84" t="s">
        <v>264</v>
      </c>
      <c r="E181" s="84" t="s">
        <v>284</v>
      </c>
      <c r="F181" s="99" t="s">
        <v>400</v>
      </c>
      <c r="G181" s="99" t="s">
        <v>405</v>
      </c>
      <c r="H181" s="84" t="s">
        <v>407</v>
      </c>
      <c r="I181" s="137">
        <v>46120</v>
      </c>
      <c r="J181" s="85" t="s">
        <v>414</v>
      </c>
      <c r="K181" s="161" t="s">
        <v>149</v>
      </c>
      <c r="L181" s="84" t="s">
        <v>150</v>
      </c>
      <c r="M181" s="23" t="s">
        <v>150</v>
      </c>
      <c r="N181" s="84" t="s">
        <v>149</v>
      </c>
      <c r="O181" s="162" t="s">
        <v>41</v>
      </c>
      <c r="P181" s="163" t="s">
        <v>41</v>
      </c>
      <c r="Q181" s="163" t="s">
        <v>41</v>
      </c>
      <c r="R181" s="60" t="s">
        <v>149</v>
      </c>
      <c r="S181" s="78" t="s">
        <v>149</v>
      </c>
      <c r="T181" s="128" t="s">
        <v>149</v>
      </c>
      <c r="U181" s="31" t="s">
        <v>149</v>
      </c>
      <c r="V181" s="23" t="s">
        <v>149</v>
      </c>
      <c r="W181" s="26" t="s">
        <v>149</v>
      </c>
    </row>
    <row r="182" spans="2:24" ht="13.2">
      <c r="B182" s="83" t="s">
        <v>18</v>
      </c>
      <c r="C182" s="84" t="s">
        <v>17</v>
      </c>
      <c r="D182" s="84" t="s">
        <v>264</v>
      </c>
      <c r="E182" s="84" t="s">
        <v>271</v>
      </c>
      <c r="F182" s="99" t="s">
        <v>400</v>
      </c>
      <c r="G182" s="99" t="s">
        <v>405</v>
      </c>
      <c r="H182" s="84" t="s">
        <v>407</v>
      </c>
      <c r="I182" s="137">
        <v>46120</v>
      </c>
      <c r="J182" s="85" t="s">
        <v>414</v>
      </c>
      <c r="K182" s="161" t="s">
        <v>149</v>
      </c>
      <c r="L182" s="84" t="s">
        <v>149</v>
      </c>
      <c r="M182" s="23" t="s">
        <v>150</v>
      </c>
      <c r="N182" s="84" t="s">
        <v>149</v>
      </c>
      <c r="O182" s="162" t="s">
        <v>41</v>
      </c>
      <c r="P182" s="163" t="s">
        <v>41</v>
      </c>
      <c r="Q182" s="163" t="s">
        <v>41</v>
      </c>
      <c r="R182" s="60" t="s">
        <v>149</v>
      </c>
      <c r="S182" s="78" t="s">
        <v>149</v>
      </c>
      <c r="T182" s="128" t="s">
        <v>149</v>
      </c>
      <c r="U182" s="31" t="s">
        <v>149</v>
      </c>
      <c r="V182" s="23" t="s">
        <v>149</v>
      </c>
      <c r="W182" s="26" t="s">
        <v>149</v>
      </c>
    </row>
    <row r="183" spans="2:24" ht="13.2">
      <c r="B183" s="83" t="s">
        <v>222</v>
      </c>
      <c r="C183" s="84" t="s">
        <v>291</v>
      </c>
      <c r="D183" s="84" t="s">
        <v>292</v>
      </c>
      <c r="E183" s="84" t="s">
        <v>293</v>
      </c>
      <c r="F183" s="99" t="s">
        <v>400</v>
      </c>
      <c r="G183" s="99" t="s">
        <v>405</v>
      </c>
      <c r="H183" s="84" t="s">
        <v>294</v>
      </c>
      <c r="I183" s="137">
        <v>46127</v>
      </c>
      <c r="J183" s="85" t="s">
        <v>413</v>
      </c>
      <c r="K183" s="161" t="s">
        <v>149</v>
      </c>
      <c r="L183" s="84" t="s">
        <v>150</v>
      </c>
      <c r="M183" s="23" t="s">
        <v>150</v>
      </c>
      <c r="N183" s="84" t="s">
        <v>150</v>
      </c>
      <c r="O183" s="162" t="s">
        <v>41</v>
      </c>
      <c r="P183" s="163" t="s">
        <v>41</v>
      </c>
      <c r="Q183" s="163" t="s">
        <v>41</v>
      </c>
      <c r="R183" s="60" t="s">
        <v>149</v>
      </c>
      <c r="S183" s="78" t="s">
        <v>149</v>
      </c>
      <c r="T183" s="128" t="s">
        <v>149</v>
      </c>
      <c r="U183" s="31" t="s">
        <v>149</v>
      </c>
      <c r="V183" s="23" t="s">
        <v>149</v>
      </c>
      <c r="W183" s="26" t="s">
        <v>149</v>
      </c>
    </row>
    <row r="184" spans="2:24" ht="13.2">
      <c r="B184" s="83" t="s">
        <v>222</v>
      </c>
      <c r="C184" s="84" t="s">
        <v>291</v>
      </c>
      <c r="D184" s="84" t="s">
        <v>292</v>
      </c>
      <c r="E184" s="84" t="s">
        <v>284</v>
      </c>
      <c r="F184" s="99" t="s">
        <v>400</v>
      </c>
      <c r="G184" s="99" t="s">
        <v>405</v>
      </c>
      <c r="H184" s="84" t="s">
        <v>295</v>
      </c>
      <c r="I184" s="137">
        <v>46127</v>
      </c>
      <c r="J184" s="85" t="s">
        <v>414</v>
      </c>
      <c r="K184" s="161" t="s">
        <v>149</v>
      </c>
      <c r="L184" s="84" t="s">
        <v>150</v>
      </c>
      <c r="M184" s="23" t="s">
        <v>150</v>
      </c>
      <c r="N184" s="84" t="s">
        <v>150</v>
      </c>
      <c r="O184" s="162" t="s">
        <v>41</v>
      </c>
      <c r="P184" s="163" t="s">
        <v>41</v>
      </c>
      <c r="Q184" s="163" t="s">
        <v>41</v>
      </c>
      <c r="R184" s="60" t="s">
        <v>149</v>
      </c>
      <c r="S184" s="78" t="s">
        <v>149</v>
      </c>
      <c r="T184" s="128" t="s">
        <v>149</v>
      </c>
      <c r="U184" s="31" t="s">
        <v>149</v>
      </c>
      <c r="V184" s="23" t="s">
        <v>149</v>
      </c>
      <c r="W184" s="26" t="s">
        <v>149</v>
      </c>
    </row>
    <row r="185" spans="2:24" ht="13.2">
      <c r="B185" s="83" t="s">
        <v>222</v>
      </c>
      <c r="C185" s="84" t="s">
        <v>291</v>
      </c>
      <c r="D185" s="84" t="s">
        <v>292</v>
      </c>
      <c r="E185" s="84" t="s">
        <v>313</v>
      </c>
      <c r="F185" s="99" t="s">
        <v>400</v>
      </c>
      <c r="G185" s="99" t="s">
        <v>405</v>
      </c>
      <c r="H185" s="84" t="s">
        <v>295</v>
      </c>
      <c r="I185" s="137">
        <v>46127</v>
      </c>
      <c r="J185" s="85" t="s">
        <v>414</v>
      </c>
      <c r="K185" s="161" t="s">
        <v>149</v>
      </c>
      <c r="L185" s="84" t="s">
        <v>150</v>
      </c>
      <c r="M185" s="23" t="s">
        <v>150</v>
      </c>
      <c r="N185" s="84" t="s">
        <v>150</v>
      </c>
      <c r="O185" s="162" t="s">
        <v>41</v>
      </c>
      <c r="P185" s="163" t="s">
        <v>41</v>
      </c>
      <c r="Q185" s="163" t="s">
        <v>41</v>
      </c>
      <c r="R185" s="60" t="s">
        <v>149</v>
      </c>
      <c r="S185" s="78" t="s">
        <v>149</v>
      </c>
      <c r="T185" s="128" t="s">
        <v>149</v>
      </c>
      <c r="U185" s="31" t="s">
        <v>149</v>
      </c>
      <c r="V185" s="23" t="s">
        <v>149</v>
      </c>
      <c r="W185" s="26" t="s">
        <v>149</v>
      </c>
    </row>
    <row r="186" spans="2:24" ht="13.2">
      <c r="B186" s="83" t="s">
        <v>102</v>
      </c>
      <c r="C186" s="84" t="s">
        <v>291</v>
      </c>
      <c r="D186" s="84" t="s">
        <v>265</v>
      </c>
      <c r="E186" s="84" t="s">
        <v>293</v>
      </c>
      <c r="F186" s="99" t="s">
        <v>400</v>
      </c>
      <c r="G186" s="99" t="s">
        <v>405</v>
      </c>
      <c r="H186" s="84" t="s">
        <v>296</v>
      </c>
      <c r="I186" s="137">
        <v>46127</v>
      </c>
      <c r="J186" s="85" t="s">
        <v>413</v>
      </c>
      <c r="K186" s="161" t="s">
        <v>149</v>
      </c>
      <c r="L186" s="84" t="s">
        <v>150</v>
      </c>
      <c r="M186" s="23" t="s">
        <v>150</v>
      </c>
      <c r="N186" s="84" t="s">
        <v>150</v>
      </c>
      <c r="O186" s="162" t="s">
        <v>41</v>
      </c>
      <c r="P186" s="163" t="s">
        <v>41</v>
      </c>
      <c r="Q186" s="163" t="s">
        <v>41</v>
      </c>
      <c r="R186" s="60" t="s">
        <v>149</v>
      </c>
      <c r="S186" s="78" t="s">
        <v>149</v>
      </c>
      <c r="T186" s="128" t="s">
        <v>149</v>
      </c>
      <c r="U186" s="31" t="s">
        <v>149</v>
      </c>
      <c r="V186" s="23" t="s">
        <v>149</v>
      </c>
      <c r="W186" s="26" t="s">
        <v>149</v>
      </c>
    </row>
    <row r="187" spans="2:24" ht="13.2">
      <c r="B187" s="83" t="s">
        <v>102</v>
      </c>
      <c r="C187" s="84" t="s">
        <v>291</v>
      </c>
      <c r="D187" s="84" t="s">
        <v>265</v>
      </c>
      <c r="E187" s="84" t="s">
        <v>284</v>
      </c>
      <c r="F187" s="99" t="s">
        <v>400</v>
      </c>
      <c r="G187" s="99" t="s">
        <v>405</v>
      </c>
      <c r="H187" s="84" t="s">
        <v>297</v>
      </c>
      <c r="I187" s="137">
        <v>46127</v>
      </c>
      <c r="J187" s="85" t="s">
        <v>413</v>
      </c>
      <c r="K187" s="161" t="s">
        <v>149</v>
      </c>
      <c r="L187" s="84" t="s">
        <v>150</v>
      </c>
      <c r="M187" s="23" t="s">
        <v>150</v>
      </c>
      <c r="N187" s="84" t="s">
        <v>150</v>
      </c>
      <c r="O187" s="162" t="s">
        <v>41</v>
      </c>
      <c r="P187" s="163" t="s">
        <v>41</v>
      </c>
      <c r="Q187" s="163" t="s">
        <v>41</v>
      </c>
      <c r="R187" s="60" t="s">
        <v>149</v>
      </c>
      <c r="S187" s="78" t="s">
        <v>149</v>
      </c>
      <c r="T187" s="128" t="s">
        <v>149</v>
      </c>
      <c r="U187" s="31" t="s">
        <v>149</v>
      </c>
      <c r="V187" s="23" t="s">
        <v>149</v>
      </c>
      <c r="W187" s="26" t="s">
        <v>149</v>
      </c>
    </row>
    <row r="188" spans="2:24" ht="13.2">
      <c r="B188" s="83" t="s">
        <v>102</v>
      </c>
      <c r="C188" s="84" t="s">
        <v>291</v>
      </c>
      <c r="D188" s="84" t="s">
        <v>265</v>
      </c>
      <c r="E188" s="84" t="s">
        <v>270</v>
      </c>
      <c r="F188" s="99" t="s">
        <v>400</v>
      </c>
      <c r="G188" s="99" t="s">
        <v>405</v>
      </c>
      <c r="H188" s="84" t="s">
        <v>297</v>
      </c>
      <c r="I188" s="137">
        <v>46127</v>
      </c>
      <c r="J188" s="85" t="s">
        <v>413</v>
      </c>
      <c r="K188" s="161" t="s">
        <v>149</v>
      </c>
      <c r="L188" s="84" t="s">
        <v>150</v>
      </c>
      <c r="M188" s="23" t="s">
        <v>150</v>
      </c>
      <c r="N188" s="84" t="s">
        <v>150</v>
      </c>
      <c r="O188" s="162" t="s">
        <v>41</v>
      </c>
      <c r="P188" s="163" t="s">
        <v>41</v>
      </c>
      <c r="Q188" s="163" t="s">
        <v>41</v>
      </c>
      <c r="R188" s="60" t="s">
        <v>149</v>
      </c>
      <c r="S188" s="78" t="s">
        <v>149</v>
      </c>
      <c r="T188" s="128" t="s">
        <v>149</v>
      </c>
      <c r="U188" s="31" t="s">
        <v>149</v>
      </c>
      <c r="V188" s="23" t="s">
        <v>149</v>
      </c>
      <c r="W188" s="26" t="s">
        <v>149</v>
      </c>
    </row>
    <row r="189" spans="2:24" ht="13.2">
      <c r="B189" s="83" t="s">
        <v>102</v>
      </c>
      <c r="C189" s="84" t="s">
        <v>291</v>
      </c>
      <c r="D189" s="84" t="s">
        <v>265</v>
      </c>
      <c r="E189" s="84" t="s">
        <v>263</v>
      </c>
      <c r="F189" s="99" t="s">
        <v>400</v>
      </c>
      <c r="G189" s="99" t="s">
        <v>405</v>
      </c>
      <c r="H189" s="84" t="s">
        <v>296</v>
      </c>
      <c r="I189" s="137">
        <v>46127</v>
      </c>
      <c r="J189" s="85" t="s">
        <v>413</v>
      </c>
      <c r="K189" s="161" t="s">
        <v>149</v>
      </c>
      <c r="L189" s="84" t="s">
        <v>150</v>
      </c>
      <c r="M189" s="23" t="s">
        <v>150</v>
      </c>
      <c r="N189" s="84" t="s">
        <v>150</v>
      </c>
      <c r="O189" s="162" t="s">
        <v>41</v>
      </c>
      <c r="P189" s="163" t="s">
        <v>41</v>
      </c>
      <c r="Q189" s="163" t="s">
        <v>41</v>
      </c>
      <c r="R189" s="60" t="s">
        <v>149</v>
      </c>
      <c r="S189" s="78" t="s">
        <v>149</v>
      </c>
      <c r="T189" s="128" t="s">
        <v>149</v>
      </c>
      <c r="U189" s="31" t="s">
        <v>149</v>
      </c>
      <c r="V189" s="23" t="s">
        <v>149</v>
      </c>
      <c r="W189" s="26" t="s">
        <v>149</v>
      </c>
    </row>
    <row r="190" spans="2:24" ht="13.2">
      <c r="B190" s="83" t="s">
        <v>107</v>
      </c>
      <c r="C190" s="84" t="s">
        <v>224</v>
      </c>
      <c r="D190" s="84" t="s">
        <v>266</v>
      </c>
      <c r="E190" s="84" t="s">
        <v>159</v>
      </c>
      <c r="F190" s="99" t="s">
        <v>400</v>
      </c>
      <c r="G190" s="99" t="s">
        <v>404</v>
      </c>
      <c r="H190" s="84" t="s">
        <v>406</v>
      </c>
      <c r="I190" s="137">
        <v>46157</v>
      </c>
      <c r="J190" s="85" t="s">
        <v>413</v>
      </c>
      <c r="K190" s="161" t="s">
        <v>149</v>
      </c>
      <c r="L190" s="60" t="s">
        <v>150</v>
      </c>
      <c r="M190" s="60" t="s">
        <v>149</v>
      </c>
      <c r="N190" s="84" t="s">
        <v>149</v>
      </c>
      <c r="O190" s="162" t="s">
        <v>41</v>
      </c>
      <c r="P190" s="163" t="s">
        <v>41</v>
      </c>
      <c r="Q190" s="163" t="s">
        <v>41</v>
      </c>
      <c r="R190" s="60" t="s">
        <v>149</v>
      </c>
      <c r="S190" s="78" t="s">
        <v>149</v>
      </c>
      <c r="T190" s="128" t="s">
        <v>149</v>
      </c>
      <c r="U190" s="31" t="s">
        <v>149</v>
      </c>
      <c r="V190" s="23" t="s">
        <v>149</v>
      </c>
      <c r="W190" s="26" t="s">
        <v>149</v>
      </c>
    </row>
    <row r="191" spans="2:24" ht="13.2">
      <c r="B191" s="83" t="s">
        <v>107</v>
      </c>
      <c r="C191" s="84" t="s">
        <v>224</v>
      </c>
      <c r="D191" s="84" t="s">
        <v>298</v>
      </c>
      <c r="E191" s="84" t="s">
        <v>262</v>
      </c>
      <c r="F191" s="99" t="s">
        <v>400</v>
      </c>
      <c r="G191" s="99" t="s">
        <v>405</v>
      </c>
      <c r="H191" s="84" t="s">
        <v>406</v>
      </c>
      <c r="I191" s="137">
        <v>46157</v>
      </c>
      <c r="J191" s="85" t="s">
        <v>414</v>
      </c>
      <c r="K191" s="161" t="s">
        <v>149</v>
      </c>
      <c r="L191" s="84" t="s">
        <v>426</v>
      </c>
      <c r="M191" s="23" t="s">
        <v>150</v>
      </c>
      <c r="N191" s="84" t="s">
        <v>426</v>
      </c>
      <c r="O191" s="162" t="s">
        <v>439</v>
      </c>
      <c r="P191" s="163" t="s">
        <v>440</v>
      </c>
      <c r="Q191" s="163" t="s">
        <v>41</v>
      </c>
      <c r="R191" s="60" t="s">
        <v>149</v>
      </c>
      <c r="S191" s="78" t="s">
        <v>149</v>
      </c>
      <c r="T191" s="128" t="s">
        <v>149</v>
      </c>
      <c r="U191" s="31" t="s">
        <v>149</v>
      </c>
      <c r="V191" s="23" t="s">
        <v>149</v>
      </c>
      <c r="W191" s="26" t="s">
        <v>149</v>
      </c>
      <c r="X191" s="18">
        <v>3000</v>
      </c>
    </row>
    <row r="192" spans="2:24" ht="13.2">
      <c r="B192" s="83" t="s">
        <v>107</v>
      </c>
      <c r="C192" s="84" t="s">
        <v>224</v>
      </c>
      <c r="D192" s="84" t="s">
        <v>299</v>
      </c>
      <c r="E192" s="84" t="s">
        <v>262</v>
      </c>
      <c r="F192" s="99" t="s">
        <v>400</v>
      </c>
      <c r="G192" s="99" t="s">
        <v>405</v>
      </c>
      <c r="H192" s="84" t="s">
        <v>406</v>
      </c>
      <c r="I192" s="137">
        <v>46157</v>
      </c>
      <c r="J192" s="85" t="s">
        <v>419</v>
      </c>
      <c r="K192" s="161" t="s">
        <v>149</v>
      </c>
      <c r="L192" s="84" t="s">
        <v>427</v>
      </c>
      <c r="M192" s="23" t="s">
        <v>150</v>
      </c>
      <c r="N192" s="84" t="s">
        <v>426</v>
      </c>
      <c r="O192" s="162" t="s">
        <v>41</v>
      </c>
      <c r="P192" s="163" t="s">
        <v>41</v>
      </c>
      <c r="Q192" s="163" t="s">
        <v>41</v>
      </c>
      <c r="R192" s="60" t="s">
        <v>149</v>
      </c>
      <c r="S192" s="78" t="s">
        <v>149</v>
      </c>
      <c r="T192" s="128" t="s">
        <v>149</v>
      </c>
      <c r="U192" s="31" t="s">
        <v>149</v>
      </c>
      <c r="V192" s="23" t="s">
        <v>149</v>
      </c>
      <c r="W192" s="26" t="s">
        <v>149</v>
      </c>
      <c r="X192" s="18">
        <v>3300</v>
      </c>
    </row>
    <row r="193" spans="2:24" ht="13.2">
      <c r="B193" s="83" t="s">
        <v>107</v>
      </c>
      <c r="C193" s="84" t="s">
        <v>224</v>
      </c>
      <c r="D193" s="84" t="s">
        <v>300</v>
      </c>
      <c r="E193" s="84" t="s">
        <v>262</v>
      </c>
      <c r="F193" s="99" t="s">
        <v>400</v>
      </c>
      <c r="G193" s="99" t="s">
        <v>405</v>
      </c>
      <c r="H193" s="84" t="s">
        <v>406</v>
      </c>
      <c r="I193" s="137">
        <v>46157</v>
      </c>
      <c r="J193" s="85" t="s">
        <v>419</v>
      </c>
      <c r="K193" s="161" t="s">
        <v>149</v>
      </c>
      <c r="L193" s="84" t="s">
        <v>427</v>
      </c>
      <c r="M193" s="23" t="s">
        <v>150</v>
      </c>
      <c r="N193" s="84" t="s">
        <v>426</v>
      </c>
      <c r="O193" s="162" t="s">
        <v>41</v>
      </c>
      <c r="P193" s="163" t="s">
        <v>41</v>
      </c>
      <c r="Q193" s="163" t="s">
        <v>41</v>
      </c>
      <c r="R193" s="60" t="s">
        <v>149</v>
      </c>
      <c r="S193" s="78" t="s">
        <v>149</v>
      </c>
      <c r="T193" s="128" t="s">
        <v>149</v>
      </c>
      <c r="U193" s="31" t="s">
        <v>149</v>
      </c>
      <c r="V193" s="23" t="s">
        <v>149</v>
      </c>
      <c r="W193" s="26" t="s">
        <v>149</v>
      </c>
      <c r="X193" s="18">
        <v>4000</v>
      </c>
    </row>
    <row r="194" spans="2:24" ht="13.2">
      <c r="B194" s="83" t="s">
        <v>107</v>
      </c>
      <c r="C194" s="84" t="s">
        <v>224</v>
      </c>
      <c r="D194" s="84" t="s">
        <v>301</v>
      </c>
      <c r="E194" s="84" t="s">
        <v>262</v>
      </c>
      <c r="F194" s="99" t="s">
        <v>400</v>
      </c>
      <c r="G194" s="99" t="s">
        <v>405</v>
      </c>
      <c r="H194" s="84" t="s">
        <v>406</v>
      </c>
      <c r="I194" s="137">
        <v>46157</v>
      </c>
      <c r="J194" s="85" t="s">
        <v>414</v>
      </c>
      <c r="K194" s="161" t="s">
        <v>149</v>
      </c>
      <c r="L194" s="84" t="s">
        <v>427</v>
      </c>
      <c r="M194" s="23" t="s">
        <v>150</v>
      </c>
      <c r="N194" s="84" t="s">
        <v>426</v>
      </c>
      <c r="O194" s="162" t="s">
        <v>41</v>
      </c>
      <c r="P194" s="163" t="s">
        <v>41</v>
      </c>
      <c r="Q194" s="163" t="s">
        <v>41</v>
      </c>
      <c r="R194" s="60" t="s">
        <v>149</v>
      </c>
      <c r="S194" s="78" t="s">
        <v>149</v>
      </c>
      <c r="T194" s="128" t="s">
        <v>149</v>
      </c>
      <c r="U194" s="31" t="s">
        <v>149</v>
      </c>
      <c r="V194" s="23" t="s">
        <v>149</v>
      </c>
      <c r="W194" s="26" t="s">
        <v>149</v>
      </c>
      <c r="X194" s="18">
        <v>7400</v>
      </c>
    </row>
    <row r="195" spans="2:24" ht="13.2">
      <c r="B195" s="83" t="s">
        <v>107</v>
      </c>
      <c r="C195" s="84" t="s">
        <v>224</v>
      </c>
      <c r="D195" s="84" t="s">
        <v>302</v>
      </c>
      <c r="E195" s="84" t="s">
        <v>262</v>
      </c>
      <c r="F195" s="99" t="s">
        <v>400</v>
      </c>
      <c r="G195" s="99" t="s">
        <v>405</v>
      </c>
      <c r="H195" s="84" t="s">
        <v>406</v>
      </c>
      <c r="I195" s="137">
        <v>46157</v>
      </c>
      <c r="J195" s="85" t="s">
        <v>414</v>
      </c>
      <c r="K195" s="161" t="s">
        <v>149</v>
      </c>
      <c r="L195" s="84" t="s">
        <v>434</v>
      </c>
      <c r="M195" s="23" t="s">
        <v>150</v>
      </c>
      <c r="N195" s="84" t="s">
        <v>149</v>
      </c>
      <c r="O195" s="162" t="s">
        <v>432</v>
      </c>
      <c r="P195" s="163" t="s">
        <v>437</v>
      </c>
      <c r="Q195" s="163" t="s">
        <v>41</v>
      </c>
      <c r="R195" s="60" t="s">
        <v>149</v>
      </c>
      <c r="S195" s="78" t="s">
        <v>149</v>
      </c>
      <c r="T195" s="128" t="s">
        <v>149</v>
      </c>
      <c r="U195" s="31" t="s">
        <v>149</v>
      </c>
      <c r="V195" s="23" t="s">
        <v>149</v>
      </c>
      <c r="W195" s="26" t="s">
        <v>149</v>
      </c>
      <c r="X195" s="18">
        <v>2100</v>
      </c>
    </row>
    <row r="196" spans="2:24" ht="13.2">
      <c r="B196" s="83" t="s">
        <v>107</v>
      </c>
      <c r="C196" s="84" t="s">
        <v>224</v>
      </c>
      <c r="D196" s="84" t="s">
        <v>303</v>
      </c>
      <c r="E196" s="84" t="s">
        <v>262</v>
      </c>
      <c r="F196" s="99" t="s">
        <v>400</v>
      </c>
      <c r="G196" s="99" t="s">
        <v>405</v>
      </c>
      <c r="H196" s="84" t="s">
        <v>406</v>
      </c>
      <c r="I196" s="137">
        <v>46157</v>
      </c>
      <c r="J196" s="85" t="s">
        <v>414</v>
      </c>
      <c r="K196" s="161" t="s">
        <v>149</v>
      </c>
      <c r="L196" s="84" t="s">
        <v>427</v>
      </c>
      <c r="M196" s="23" t="s">
        <v>150</v>
      </c>
      <c r="N196" s="84" t="s">
        <v>426</v>
      </c>
      <c r="O196" s="162" t="s">
        <v>41</v>
      </c>
      <c r="P196" s="163" t="s">
        <v>41</v>
      </c>
      <c r="Q196" s="163" t="s">
        <v>41</v>
      </c>
      <c r="R196" s="60" t="s">
        <v>149</v>
      </c>
      <c r="S196" s="78" t="s">
        <v>149</v>
      </c>
      <c r="T196" s="128" t="s">
        <v>149</v>
      </c>
      <c r="U196" s="31" t="s">
        <v>149</v>
      </c>
      <c r="V196" s="23" t="s">
        <v>149</v>
      </c>
      <c r="W196" s="26" t="s">
        <v>149</v>
      </c>
      <c r="X196" s="18">
        <v>1900</v>
      </c>
    </row>
    <row r="197" spans="2:24" ht="13.2">
      <c r="B197" s="83" t="s">
        <v>107</v>
      </c>
      <c r="C197" s="84" t="s">
        <v>224</v>
      </c>
      <c r="D197" s="84" t="s">
        <v>304</v>
      </c>
      <c r="E197" s="84" t="s">
        <v>262</v>
      </c>
      <c r="F197" s="99" t="s">
        <v>400</v>
      </c>
      <c r="G197" s="99" t="s">
        <v>405</v>
      </c>
      <c r="H197" s="84" t="s">
        <v>406</v>
      </c>
      <c r="I197" s="137">
        <v>46157</v>
      </c>
      <c r="J197" s="85" t="s">
        <v>414</v>
      </c>
      <c r="K197" s="161" t="s">
        <v>149</v>
      </c>
      <c r="L197" s="84" t="s">
        <v>427</v>
      </c>
      <c r="M197" s="23" t="s">
        <v>150</v>
      </c>
      <c r="N197" s="84" t="s">
        <v>426</v>
      </c>
      <c r="O197" s="162" t="s">
        <v>41</v>
      </c>
      <c r="P197" s="163" t="s">
        <v>41</v>
      </c>
      <c r="Q197" s="163" t="s">
        <v>41</v>
      </c>
      <c r="R197" s="60" t="s">
        <v>149</v>
      </c>
      <c r="S197" s="78" t="s">
        <v>149</v>
      </c>
      <c r="T197" s="128" t="s">
        <v>149</v>
      </c>
      <c r="U197" s="31" t="s">
        <v>149</v>
      </c>
      <c r="V197" s="23" t="s">
        <v>149</v>
      </c>
      <c r="W197" s="26" t="s">
        <v>149</v>
      </c>
      <c r="X197" s="18" t="s">
        <v>429</v>
      </c>
    </row>
    <row r="198" spans="2:24" ht="13.2">
      <c r="B198" s="83" t="s">
        <v>107</v>
      </c>
      <c r="C198" s="84" t="s">
        <v>224</v>
      </c>
      <c r="D198" s="84" t="s">
        <v>305</v>
      </c>
      <c r="E198" s="84" t="s">
        <v>262</v>
      </c>
      <c r="F198" s="99" t="s">
        <v>400</v>
      </c>
      <c r="G198" s="99" t="s">
        <v>405</v>
      </c>
      <c r="H198" s="84" t="s">
        <v>406</v>
      </c>
      <c r="I198" s="137">
        <v>46157</v>
      </c>
      <c r="J198" s="85" t="s">
        <v>414</v>
      </c>
      <c r="K198" s="161" t="s">
        <v>149</v>
      </c>
      <c r="L198" s="84" t="s">
        <v>427</v>
      </c>
      <c r="M198" s="23" t="s">
        <v>150</v>
      </c>
      <c r="N198" s="84" t="s">
        <v>149</v>
      </c>
      <c r="O198" s="162" t="s">
        <v>41</v>
      </c>
      <c r="P198" s="163" t="s">
        <v>41</v>
      </c>
      <c r="Q198" s="163" t="s">
        <v>41</v>
      </c>
      <c r="R198" s="60" t="s">
        <v>149</v>
      </c>
      <c r="S198" s="78" t="s">
        <v>149</v>
      </c>
      <c r="T198" s="128" t="s">
        <v>149</v>
      </c>
      <c r="U198" s="31" t="s">
        <v>149</v>
      </c>
      <c r="V198" s="23" t="s">
        <v>149</v>
      </c>
      <c r="W198" s="26" t="s">
        <v>149</v>
      </c>
      <c r="X198" s="18">
        <v>4500</v>
      </c>
    </row>
    <row r="199" spans="2:24" ht="13.2">
      <c r="B199" s="83" t="s">
        <v>107</v>
      </c>
      <c r="C199" s="84" t="s">
        <v>224</v>
      </c>
      <c r="D199" s="84" t="s">
        <v>306</v>
      </c>
      <c r="E199" s="84" t="s">
        <v>262</v>
      </c>
      <c r="F199" s="99" t="s">
        <v>400</v>
      </c>
      <c r="G199" s="99" t="s">
        <v>405</v>
      </c>
      <c r="H199" s="84" t="s">
        <v>406</v>
      </c>
      <c r="I199" s="137">
        <v>46157</v>
      </c>
      <c r="J199" s="85" t="s">
        <v>414</v>
      </c>
      <c r="K199" s="161" t="s">
        <v>149</v>
      </c>
      <c r="L199" s="84" t="s">
        <v>426</v>
      </c>
      <c r="M199" s="23" t="s">
        <v>150</v>
      </c>
      <c r="N199" s="84" t="s">
        <v>426</v>
      </c>
      <c r="O199" s="162" t="s">
        <v>41</v>
      </c>
      <c r="P199" s="163" t="s">
        <v>41</v>
      </c>
      <c r="Q199" s="163" t="s">
        <v>41</v>
      </c>
      <c r="R199" s="60" t="s">
        <v>149</v>
      </c>
      <c r="S199" s="78" t="s">
        <v>149</v>
      </c>
      <c r="T199" s="128" t="s">
        <v>149</v>
      </c>
      <c r="U199" s="31" t="s">
        <v>149</v>
      </c>
      <c r="V199" s="23" t="s">
        <v>149</v>
      </c>
      <c r="W199" s="26" t="s">
        <v>149</v>
      </c>
      <c r="X199" s="18">
        <v>4600</v>
      </c>
    </row>
    <row r="200" spans="2:24" ht="13.2">
      <c r="B200" s="83" t="s">
        <v>107</v>
      </c>
      <c r="C200" s="84" t="s">
        <v>224</v>
      </c>
      <c r="D200" s="84" t="s">
        <v>307</v>
      </c>
      <c r="E200" s="84" t="s">
        <v>262</v>
      </c>
      <c r="F200" s="99" t="s">
        <v>400</v>
      </c>
      <c r="G200" s="99" t="s">
        <v>405</v>
      </c>
      <c r="H200" s="84" t="s">
        <v>406</v>
      </c>
      <c r="I200" s="137">
        <v>46151</v>
      </c>
      <c r="J200" s="85" t="s">
        <v>413</v>
      </c>
      <c r="K200" s="161" t="s">
        <v>149</v>
      </c>
      <c r="L200" s="84" t="s">
        <v>427</v>
      </c>
      <c r="M200" s="23" t="s">
        <v>150</v>
      </c>
      <c r="N200" s="84" t="s">
        <v>149</v>
      </c>
      <c r="O200" s="162" t="s">
        <v>41</v>
      </c>
      <c r="P200" s="163" t="s">
        <v>41</v>
      </c>
      <c r="Q200" s="163" t="s">
        <v>41</v>
      </c>
      <c r="R200" s="60" t="s">
        <v>149</v>
      </c>
      <c r="S200" s="78" t="s">
        <v>149</v>
      </c>
      <c r="T200" s="128" t="s">
        <v>149</v>
      </c>
      <c r="U200" s="31" t="s">
        <v>149</v>
      </c>
      <c r="V200" s="23" t="s">
        <v>149</v>
      </c>
      <c r="W200" s="26" t="s">
        <v>149</v>
      </c>
      <c r="X200" s="18">
        <v>4800</v>
      </c>
    </row>
    <row r="201" spans="2:24" ht="13.2">
      <c r="B201" s="83" t="s">
        <v>107</v>
      </c>
      <c r="C201" s="84" t="s">
        <v>224</v>
      </c>
      <c r="D201" s="84" t="s">
        <v>308</v>
      </c>
      <c r="E201" s="84" t="s">
        <v>262</v>
      </c>
      <c r="F201" s="99" t="s">
        <v>400</v>
      </c>
      <c r="G201" s="99" t="s">
        <v>405</v>
      </c>
      <c r="H201" s="84" t="s">
        <v>406</v>
      </c>
      <c r="I201" s="137">
        <v>46151</v>
      </c>
      <c r="J201" s="85" t="s">
        <v>414</v>
      </c>
      <c r="K201" s="161" t="s">
        <v>149</v>
      </c>
      <c r="L201" s="84" t="s">
        <v>427</v>
      </c>
      <c r="M201" s="23" t="s">
        <v>150</v>
      </c>
      <c r="N201" s="84" t="s">
        <v>149</v>
      </c>
      <c r="O201" s="162" t="s">
        <v>41</v>
      </c>
      <c r="P201" s="163" t="s">
        <v>41</v>
      </c>
      <c r="Q201" s="163" t="s">
        <v>41</v>
      </c>
      <c r="R201" s="60" t="s">
        <v>149</v>
      </c>
      <c r="S201" s="78" t="s">
        <v>149</v>
      </c>
      <c r="T201" s="128" t="s">
        <v>149</v>
      </c>
      <c r="U201" s="31" t="s">
        <v>149</v>
      </c>
      <c r="V201" s="23" t="s">
        <v>149</v>
      </c>
      <c r="W201" s="26" t="s">
        <v>149</v>
      </c>
      <c r="X201" s="18">
        <v>8700</v>
      </c>
    </row>
    <row r="202" spans="2:24" ht="13.2">
      <c r="B202" s="83" t="s">
        <v>107</v>
      </c>
      <c r="C202" s="84" t="s">
        <v>224</v>
      </c>
      <c r="D202" s="84" t="s">
        <v>309</v>
      </c>
      <c r="E202" s="84" t="s">
        <v>262</v>
      </c>
      <c r="F202" s="99" t="s">
        <v>400</v>
      </c>
      <c r="G202" s="99" t="s">
        <v>405</v>
      </c>
      <c r="H202" s="84" t="s">
        <v>406</v>
      </c>
      <c r="I202" s="137">
        <v>46151</v>
      </c>
      <c r="J202" s="85" t="s">
        <v>415</v>
      </c>
      <c r="K202" s="161" t="s">
        <v>149</v>
      </c>
      <c r="L202" s="84" t="s">
        <v>427</v>
      </c>
      <c r="M202" s="23" t="s">
        <v>150</v>
      </c>
      <c r="N202" s="84" t="s">
        <v>426</v>
      </c>
      <c r="O202" s="162" t="s">
        <v>41</v>
      </c>
      <c r="P202" s="163" t="s">
        <v>41</v>
      </c>
      <c r="Q202" s="163" t="s">
        <v>41</v>
      </c>
      <c r="R202" s="60" t="s">
        <v>149</v>
      </c>
      <c r="S202" s="78" t="s">
        <v>149</v>
      </c>
      <c r="T202" s="128" t="s">
        <v>149</v>
      </c>
      <c r="U202" s="31" t="s">
        <v>149</v>
      </c>
      <c r="V202" s="23" t="s">
        <v>149</v>
      </c>
      <c r="W202" s="26" t="s">
        <v>149</v>
      </c>
      <c r="X202" s="18">
        <v>9200</v>
      </c>
    </row>
    <row r="203" spans="2:24" ht="13.2">
      <c r="B203" s="83" t="s">
        <v>107</v>
      </c>
      <c r="C203" s="84" t="s">
        <v>224</v>
      </c>
      <c r="D203" s="84" t="s">
        <v>310</v>
      </c>
      <c r="E203" s="84" t="s">
        <v>262</v>
      </c>
      <c r="F203" s="99" t="s">
        <v>400</v>
      </c>
      <c r="G203" s="99" t="s">
        <v>405</v>
      </c>
      <c r="H203" s="84" t="s">
        <v>406</v>
      </c>
      <c r="I203" s="137">
        <v>46151</v>
      </c>
      <c r="J203" s="85" t="s">
        <v>415</v>
      </c>
      <c r="K203" s="161" t="s">
        <v>149</v>
      </c>
      <c r="L203" s="84" t="s">
        <v>427</v>
      </c>
      <c r="M203" s="23" t="s">
        <v>150</v>
      </c>
      <c r="N203" s="84" t="s">
        <v>426</v>
      </c>
      <c r="O203" s="162" t="s">
        <v>41</v>
      </c>
      <c r="P203" s="163" t="s">
        <v>41</v>
      </c>
      <c r="Q203" s="163" t="s">
        <v>41</v>
      </c>
      <c r="R203" s="60" t="s">
        <v>149</v>
      </c>
      <c r="S203" s="78" t="s">
        <v>149</v>
      </c>
      <c r="T203" s="128" t="s">
        <v>149</v>
      </c>
      <c r="U203" s="31" t="s">
        <v>149</v>
      </c>
      <c r="V203" s="23" t="s">
        <v>149</v>
      </c>
      <c r="W203" s="26" t="s">
        <v>149</v>
      </c>
      <c r="X203" s="18">
        <v>1700</v>
      </c>
    </row>
    <row r="204" spans="2:24" ht="13.2">
      <c r="B204" s="83" t="s">
        <v>107</v>
      </c>
      <c r="C204" s="84" t="s">
        <v>224</v>
      </c>
      <c r="D204" s="84" t="s">
        <v>298</v>
      </c>
      <c r="E204" s="84" t="s">
        <v>263</v>
      </c>
      <c r="F204" s="99" t="s">
        <v>400</v>
      </c>
      <c r="G204" s="99" t="s">
        <v>405</v>
      </c>
      <c r="H204" s="84" t="s">
        <v>406</v>
      </c>
      <c r="I204" s="137">
        <v>46151</v>
      </c>
      <c r="J204" s="85" t="s">
        <v>423</v>
      </c>
      <c r="K204" s="161" t="s">
        <v>149</v>
      </c>
      <c r="L204" s="84" t="s">
        <v>427</v>
      </c>
      <c r="M204" s="23" t="s">
        <v>150</v>
      </c>
      <c r="N204" s="84" t="s">
        <v>149</v>
      </c>
      <c r="O204" s="162" t="s">
        <v>41</v>
      </c>
      <c r="P204" s="163" t="s">
        <v>41</v>
      </c>
      <c r="Q204" s="163" t="s">
        <v>41</v>
      </c>
      <c r="R204" s="60" t="s">
        <v>149</v>
      </c>
      <c r="S204" s="78" t="s">
        <v>149</v>
      </c>
      <c r="T204" s="128" t="s">
        <v>149</v>
      </c>
      <c r="U204" s="31" t="s">
        <v>149</v>
      </c>
      <c r="V204" s="23" t="s">
        <v>149</v>
      </c>
      <c r="W204" s="26" t="s">
        <v>149</v>
      </c>
      <c r="X204" s="18">
        <v>3000</v>
      </c>
    </row>
    <row r="205" spans="2:24" ht="13.2">
      <c r="B205" s="83" t="s">
        <v>107</v>
      </c>
      <c r="C205" s="84" t="s">
        <v>224</v>
      </c>
      <c r="D205" s="84" t="s">
        <v>301</v>
      </c>
      <c r="E205" s="84" t="s">
        <v>263</v>
      </c>
      <c r="F205" s="99" t="s">
        <v>400</v>
      </c>
      <c r="G205" s="99" t="s">
        <v>405</v>
      </c>
      <c r="H205" s="84" t="s">
        <v>406</v>
      </c>
      <c r="I205" s="137">
        <v>46151</v>
      </c>
      <c r="J205" s="85" t="s">
        <v>423</v>
      </c>
      <c r="K205" s="161" t="s">
        <v>149</v>
      </c>
      <c r="L205" s="84" t="s">
        <v>427</v>
      </c>
      <c r="M205" s="23" t="s">
        <v>150</v>
      </c>
      <c r="N205" s="84" t="s">
        <v>149</v>
      </c>
      <c r="O205" s="162" t="s">
        <v>41</v>
      </c>
      <c r="P205" s="163" t="s">
        <v>41</v>
      </c>
      <c r="Q205" s="163" t="s">
        <v>41</v>
      </c>
      <c r="R205" s="60" t="s">
        <v>149</v>
      </c>
      <c r="S205" s="78" t="s">
        <v>149</v>
      </c>
      <c r="T205" s="128" t="s">
        <v>149</v>
      </c>
      <c r="U205" s="31" t="s">
        <v>149</v>
      </c>
      <c r="V205" s="23" t="s">
        <v>149</v>
      </c>
      <c r="W205" s="26" t="s">
        <v>149</v>
      </c>
      <c r="X205" s="18">
        <v>7400</v>
      </c>
    </row>
    <row r="206" spans="2:24" ht="13.2">
      <c r="B206" s="83" t="s">
        <v>107</v>
      </c>
      <c r="C206" s="84" t="s">
        <v>224</v>
      </c>
      <c r="D206" s="84" t="s">
        <v>308</v>
      </c>
      <c r="E206" s="84" t="s">
        <v>263</v>
      </c>
      <c r="F206" s="99" t="s">
        <v>400</v>
      </c>
      <c r="G206" s="99" t="s">
        <v>405</v>
      </c>
      <c r="H206" s="84" t="s">
        <v>406</v>
      </c>
      <c r="I206" s="137">
        <v>46151</v>
      </c>
      <c r="J206" s="85" t="s">
        <v>423</v>
      </c>
      <c r="K206" s="161" t="s">
        <v>149</v>
      </c>
      <c r="L206" s="84" t="s">
        <v>427</v>
      </c>
      <c r="M206" s="23" t="s">
        <v>150</v>
      </c>
      <c r="N206" s="84" t="s">
        <v>149</v>
      </c>
      <c r="O206" s="162" t="s">
        <v>41</v>
      </c>
      <c r="P206" s="163" t="s">
        <v>41</v>
      </c>
      <c r="Q206" s="163" t="s">
        <v>41</v>
      </c>
      <c r="R206" s="60" t="s">
        <v>149</v>
      </c>
      <c r="S206" s="78" t="s">
        <v>149</v>
      </c>
      <c r="T206" s="128" t="s">
        <v>149</v>
      </c>
      <c r="U206" s="31" t="s">
        <v>149</v>
      </c>
      <c r="V206" s="23" t="s">
        <v>149</v>
      </c>
      <c r="W206" s="26" t="s">
        <v>149</v>
      </c>
      <c r="X206" s="18">
        <v>8700</v>
      </c>
    </row>
    <row r="207" spans="2:24" ht="13.2">
      <c r="B207" s="83" t="s">
        <v>107</v>
      </c>
      <c r="C207" s="84" t="s">
        <v>224</v>
      </c>
      <c r="D207" s="84" t="s">
        <v>298</v>
      </c>
      <c r="E207" s="84" t="s">
        <v>313</v>
      </c>
      <c r="F207" s="99" t="s">
        <v>400</v>
      </c>
      <c r="G207" s="99" t="s">
        <v>405</v>
      </c>
      <c r="H207" s="84" t="s">
        <v>406</v>
      </c>
      <c r="I207" s="137">
        <v>46151</v>
      </c>
      <c r="J207" s="85" t="s">
        <v>421</v>
      </c>
      <c r="K207" s="161" t="s">
        <v>149</v>
      </c>
      <c r="L207" s="84" t="s">
        <v>426</v>
      </c>
      <c r="M207" s="23" t="s">
        <v>150</v>
      </c>
      <c r="N207" s="84" t="s">
        <v>149</v>
      </c>
      <c r="O207" s="162" t="s">
        <v>41</v>
      </c>
      <c r="P207" s="163" t="s">
        <v>41</v>
      </c>
      <c r="Q207" s="163" t="s">
        <v>41</v>
      </c>
      <c r="R207" s="60" t="s">
        <v>149</v>
      </c>
      <c r="S207" s="78" t="s">
        <v>149</v>
      </c>
      <c r="T207" s="128" t="s">
        <v>149</v>
      </c>
      <c r="U207" s="31" t="s">
        <v>149</v>
      </c>
      <c r="V207" s="23" t="s">
        <v>149</v>
      </c>
      <c r="W207" s="26" t="s">
        <v>149</v>
      </c>
      <c r="X207" s="18">
        <v>3000</v>
      </c>
    </row>
    <row r="208" spans="2:24" ht="13.2">
      <c r="B208" s="83" t="s">
        <v>107</v>
      </c>
      <c r="C208" s="84" t="s">
        <v>224</v>
      </c>
      <c r="D208" s="84" t="s">
        <v>299</v>
      </c>
      <c r="E208" s="84" t="s">
        <v>313</v>
      </c>
      <c r="F208" s="99" t="s">
        <v>400</v>
      </c>
      <c r="G208" s="99" t="s">
        <v>405</v>
      </c>
      <c r="H208" s="84" t="s">
        <v>406</v>
      </c>
      <c r="I208" s="137">
        <v>46151</v>
      </c>
      <c r="J208" s="85" t="s">
        <v>421</v>
      </c>
      <c r="K208" s="161" t="s">
        <v>149</v>
      </c>
      <c r="L208" s="84" t="s">
        <v>150</v>
      </c>
      <c r="M208" s="23" t="s">
        <v>150</v>
      </c>
      <c r="N208" s="84" t="s">
        <v>149</v>
      </c>
      <c r="O208" s="162" t="s">
        <v>41</v>
      </c>
      <c r="P208" s="163" t="s">
        <v>41</v>
      </c>
      <c r="Q208" s="163" t="s">
        <v>41</v>
      </c>
      <c r="R208" s="60" t="s">
        <v>149</v>
      </c>
      <c r="S208" s="78" t="s">
        <v>149</v>
      </c>
      <c r="T208" s="128" t="s">
        <v>149</v>
      </c>
      <c r="U208" s="31" t="s">
        <v>149</v>
      </c>
      <c r="V208" s="23" t="s">
        <v>149</v>
      </c>
      <c r="W208" s="26" t="s">
        <v>149</v>
      </c>
      <c r="X208" s="18">
        <v>3300</v>
      </c>
    </row>
    <row r="209" spans="2:24" ht="13.2">
      <c r="B209" s="83" t="s">
        <v>107</v>
      </c>
      <c r="C209" s="84" t="s">
        <v>224</v>
      </c>
      <c r="D209" s="84" t="s">
        <v>301</v>
      </c>
      <c r="E209" s="84" t="s">
        <v>313</v>
      </c>
      <c r="F209" s="99" t="s">
        <v>400</v>
      </c>
      <c r="G209" s="99" t="s">
        <v>405</v>
      </c>
      <c r="H209" s="84" t="s">
        <v>406</v>
      </c>
      <c r="I209" s="137">
        <v>46151</v>
      </c>
      <c r="J209" s="85" t="s">
        <v>421</v>
      </c>
      <c r="K209" s="161" t="s">
        <v>149</v>
      </c>
      <c r="L209" s="84" t="s">
        <v>150</v>
      </c>
      <c r="M209" s="23" t="s">
        <v>150</v>
      </c>
      <c r="N209" s="84" t="s">
        <v>149</v>
      </c>
      <c r="O209" s="162" t="s">
        <v>41</v>
      </c>
      <c r="P209" s="163" t="s">
        <v>41</v>
      </c>
      <c r="Q209" s="163" t="s">
        <v>41</v>
      </c>
      <c r="R209" s="60" t="s">
        <v>149</v>
      </c>
      <c r="S209" s="78" t="s">
        <v>149</v>
      </c>
      <c r="T209" s="128" t="s">
        <v>149</v>
      </c>
      <c r="U209" s="31" t="s">
        <v>149</v>
      </c>
      <c r="V209" s="23" t="s">
        <v>149</v>
      </c>
      <c r="W209" s="26" t="s">
        <v>149</v>
      </c>
      <c r="X209" s="18">
        <v>7400</v>
      </c>
    </row>
    <row r="210" spans="2:24" ht="13.2">
      <c r="B210" s="83" t="s">
        <v>107</v>
      </c>
      <c r="C210" s="84" t="s">
        <v>224</v>
      </c>
      <c r="D210" s="84" t="s">
        <v>310</v>
      </c>
      <c r="E210" s="84" t="s">
        <v>313</v>
      </c>
      <c r="F210" s="99" t="s">
        <v>400</v>
      </c>
      <c r="G210" s="99" t="s">
        <v>405</v>
      </c>
      <c r="H210" s="84" t="s">
        <v>406</v>
      </c>
      <c r="I210" s="137">
        <v>46157</v>
      </c>
      <c r="J210" s="85" t="s">
        <v>421</v>
      </c>
      <c r="K210" s="161" t="s">
        <v>149</v>
      </c>
      <c r="L210" s="84" t="s">
        <v>150</v>
      </c>
      <c r="M210" s="23" t="s">
        <v>150</v>
      </c>
      <c r="N210" s="84" t="s">
        <v>149</v>
      </c>
      <c r="O210" s="162" t="s">
        <v>41</v>
      </c>
      <c r="P210" s="163" t="s">
        <v>41</v>
      </c>
      <c r="Q210" s="163" t="s">
        <v>41</v>
      </c>
      <c r="R210" s="60" t="s">
        <v>149</v>
      </c>
      <c r="S210" s="78" t="s">
        <v>149</v>
      </c>
      <c r="T210" s="128" t="s">
        <v>149</v>
      </c>
      <c r="U210" s="31" t="s">
        <v>149</v>
      </c>
      <c r="V210" s="23" t="s">
        <v>149</v>
      </c>
      <c r="W210" s="26" t="s">
        <v>149</v>
      </c>
      <c r="X210" s="18">
        <v>1700</v>
      </c>
    </row>
    <row r="211" spans="2:24" ht="13.2">
      <c r="B211" s="83" t="s">
        <v>107</v>
      </c>
      <c r="C211" s="84" t="s">
        <v>224</v>
      </c>
      <c r="D211" s="84" t="s">
        <v>303</v>
      </c>
      <c r="E211" s="84" t="s">
        <v>313</v>
      </c>
      <c r="F211" s="99" t="s">
        <v>400</v>
      </c>
      <c r="G211" s="99" t="s">
        <v>405</v>
      </c>
      <c r="H211" s="84" t="s">
        <v>406</v>
      </c>
      <c r="I211" s="137">
        <v>46157</v>
      </c>
      <c r="J211" s="85" t="s">
        <v>421</v>
      </c>
      <c r="K211" s="161" t="s">
        <v>149</v>
      </c>
      <c r="L211" s="84" t="s">
        <v>150</v>
      </c>
      <c r="M211" s="23" t="s">
        <v>150</v>
      </c>
      <c r="N211" s="84" t="s">
        <v>149</v>
      </c>
      <c r="O211" s="162" t="s">
        <v>41</v>
      </c>
      <c r="P211" s="163" t="s">
        <v>41</v>
      </c>
      <c r="Q211" s="163" t="s">
        <v>41</v>
      </c>
      <c r="R211" s="60" t="s">
        <v>149</v>
      </c>
      <c r="S211" s="78" t="s">
        <v>149</v>
      </c>
      <c r="T211" s="128" t="s">
        <v>149</v>
      </c>
      <c r="U211" s="31" t="s">
        <v>149</v>
      </c>
      <c r="V211" s="23" t="s">
        <v>149</v>
      </c>
      <c r="W211" s="26" t="s">
        <v>149</v>
      </c>
      <c r="X211" s="18">
        <v>1900</v>
      </c>
    </row>
    <row r="212" spans="2:24" ht="13.2">
      <c r="B212" s="83" t="s">
        <v>107</v>
      </c>
      <c r="C212" s="84" t="s">
        <v>224</v>
      </c>
      <c r="D212" s="84" t="s">
        <v>298</v>
      </c>
      <c r="E212" s="84" t="s">
        <v>316</v>
      </c>
      <c r="F212" s="99" t="s">
        <v>400</v>
      </c>
      <c r="G212" s="99" t="s">
        <v>405</v>
      </c>
      <c r="H212" s="84" t="s">
        <v>406</v>
      </c>
      <c r="I212" s="137">
        <v>46157</v>
      </c>
      <c r="J212" s="85" t="s">
        <v>423</v>
      </c>
      <c r="K212" s="161" t="s">
        <v>149</v>
      </c>
      <c r="L212" s="84" t="s">
        <v>434</v>
      </c>
      <c r="M212" s="84" t="s">
        <v>433</v>
      </c>
      <c r="N212" s="84" t="s">
        <v>426</v>
      </c>
      <c r="O212" s="162" t="s">
        <v>436</v>
      </c>
      <c r="P212" s="163" t="s">
        <v>437</v>
      </c>
      <c r="Q212" s="163" t="s">
        <v>41</v>
      </c>
      <c r="R212" s="60" t="s">
        <v>149</v>
      </c>
      <c r="S212" s="78" t="s">
        <v>149</v>
      </c>
      <c r="T212" s="128" t="s">
        <v>149</v>
      </c>
      <c r="U212" s="31" t="s">
        <v>149</v>
      </c>
      <c r="V212" s="23" t="s">
        <v>149</v>
      </c>
      <c r="W212" s="26" t="s">
        <v>149</v>
      </c>
      <c r="X212" s="18">
        <v>3000</v>
      </c>
    </row>
    <row r="213" spans="2:24" ht="13.2">
      <c r="B213" s="83" t="s">
        <v>107</v>
      </c>
      <c r="C213" s="84" t="s">
        <v>224</v>
      </c>
      <c r="D213" s="84" t="s">
        <v>301</v>
      </c>
      <c r="E213" s="84" t="s">
        <v>316</v>
      </c>
      <c r="F213" s="99" t="s">
        <v>400</v>
      </c>
      <c r="G213" s="99" t="s">
        <v>405</v>
      </c>
      <c r="H213" s="84" t="s">
        <v>406</v>
      </c>
      <c r="I213" s="137">
        <v>46157</v>
      </c>
      <c r="J213" s="85" t="s">
        <v>423</v>
      </c>
      <c r="K213" s="161" t="s">
        <v>149</v>
      </c>
      <c r="L213" s="84" t="s">
        <v>427</v>
      </c>
      <c r="M213" s="84" t="s">
        <v>150</v>
      </c>
      <c r="N213" s="84" t="s">
        <v>149</v>
      </c>
      <c r="O213" s="162" t="s">
        <v>41</v>
      </c>
      <c r="P213" s="163" t="s">
        <v>41</v>
      </c>
      <c r="Q213" s="163" t="s">
        <v>41</v>
      </c>
      <c r="R213" s="60" t="s">
        <v>149</v>
      </c>
      <c r="S213" s="78" t="s">
        <v>149</v>
      </c>
      <c r="T213" s="128" t="s">
        <v>149</v>
      </c>
      <c r="U213" s="31" t="s">
        <v>149</v>
      </c>
      <c r="V213" s="23" t="s">
        <v>149</v>
      </c>
      <c r="W213" s="26" t="s">
        <v>149</v>
      </c>
      <c r="X213" s="18">
        <v>7400</v>
      </c>
    </row>
    <row r="214" spans="2:24" ht="13.2">
      <c r="B214" s="83" t="s">
        <v>107</v>
      </c>
      <c r="C214" s="84" t="s">
        <v>224</v>
      </c>
      <c r="D214" s="84" t="s">
        <v>300</v>
      </c>
      <c r="E214" s="84" t="s">
        <v>316</v>
      </c>
      <c r="F214" s="99" t="s">
        <v>400</v>
      </c>
      <c r="G214" s="99" t="s">
        <v>405</v>
      </c>
      <c r="H214" s="84" t="s">
        <v>406</v>
      </c>
      <c r="I214" s="137">
        <v>46157</v>
      </c>
      <c r="J214" s="85" t="s">
        <v>423</v>
      </c>
      <c r="K214" s="161" t="s">
        <v>149</v>
      </c>
      <c r="L214" s="84" t="s">
        <v>434</v>
      </c>
      <c r="M214" s="84" t="s">
        <v>150</v>
      </c>
      <c r="N214" s="84" t="s">
        <v>149</v>
      </c>
      <c r="O214" s="162" t="s">
        <v>431</v>
      </c>
      <c r="P214" s="163" t="s">
        <v>437</v>
      </c>
      <c r="Q214" s="163" t="s">
        <v>41</v>
      </c>
      <c r="R214" s="60" t="s">
        <v>149</v>
      </c>
      <c r="S214" s="78" t="s">
        <v>149</v>
      </c>
      <c r="T214" s="128" t="s">
        <v>149</v>
      </c>
      <c r="U214" s="31" t="s">
        <v>149</v>
      </c>
      <c r="V214" s="23" t="s">
        <v>149</v>
      </c>
      <c r="W214" s="26" t="s">
        <v>149</v>
      </c>
      <c r="X214" s="18">
        <v>4000</v>
      </c>
    </row>
    <row r="215" spans="2:24" ht="13.2">
      <c r="B215" s="83" t="s">
        <v>107</v>
      </c>
      <c r="C215" s="84" t="s">
        <v>224</v>
      </c>
      <c r="D215" s="84" t="s">
        <v>311</v>
      </c>
      <c r="E215" s="84" t="s">
        <v>316</v>
      </c>
      <c r="F215" s="99" t="s">
        <v>400</v>
      </c>
      <c r="G215" s="99" t="s">
        <v>405</v>
      </c>
      <c r="H215" s="84" t="s">
        <v>406</v>
      </c>
      <c r="I215" s="137">
        <v>46151</v>
      </c>
      <c r="J215" s="85" t="s">
        <v>413</v>
      </c>
      <c r="K215" s="161" t="s">
        <v>149</v>
      </c>
      <c r="L215" s="84" t="s">
        <v>149</v>
      </c>
      <c r="M215" s="84" t="s">
        <v>433</v>
      </c>
      <c r="N215" s="84" t="s">
        <v>426</v>
      </c>
      <c r="O215" s="162" t="s">
        <v>41</v>
      </c>
      <c r="P215" s="163" t="s">
        <v>41</v>
      </c>
      <c r="Q215" s="163" t="s">
        <v>41</v>
      </c>
      <c r="R215" s="60" t="s">
        <v>149</v>
      </c>
      <c r="S215" s="78" t="s">
        <v>149</v>
      </c>
      <c r="T215" s="128" t="s">
        <v>149</v>
      </c>
      <c r="U215" s="31" t="s">
        <v>149</v>
      </c>
      <c r="V215" s="23" t="s">
        <v>149</v>
      </c>
      <c r="W215" s="26" t="s">
        <v>149</v>
      </c>
      <c r="X215" s="18">
        <v>7100</v>
      </c>
    </row>
    <row r="216" spans="2:24" ht="13.2">
      <c r="B216" s="83" t="s">
        <v>107</v>
      </c>
      <c r="C216" s="84" t="s">
        <v>224</v>
      </c>
      <c r="D216" s="84" t="s">
        <v>308</v>
      </c>
      <c r="E216" s="84" t="s">
        <v>316</v>
      </c>
      <c r="F216" s="99" t="s">
        <v>400</v>
      </c>
      <c r="G216" s="99" t="s">
        <v>405</v>
      </c>
      <c r="H216" s="84" t="s">
        <v>406</v>
      </c>
      <c r="I216" s="137">
        <v>46157</v>
      </c>
      <c r="J216" s="85" t="s">
        <v>423</v>
      </c>
      <c r="K216" s="161" t="s">
        <v>149</v>
      </c>
      <c r="L216" s="84" t="s">
        <v>427</v>
      </c>
      <c r="M216" s="84" t="s">
        <v>433</v>
      </c>
      <c r="N216" s="84" t="s">
        <v>426</v>
      </c>
      <c r="O216" s="162" t="s">
        <v>41</v>
      </c>
      <c r="P216" s="163" t="s">
        <v>41</v>
      </c>
      <c r="Q216" s="163" t="s">
        <v>41</v>
      </c>
      <c r="R216" s="60" t="s">
        <v>149</v>
      </c>
      <c r="S216" s="78" t="s">
        <v>149</v>
      </c>
      <c r="T216" s="128" t="s">
        <v>149</v>
      </c>
      <c r="U216" s="31" t="s">
        <v>149</v>
      </c>
      <c r="V216" s="23" t="s">
        <v>149</v>
      </c>
      <c r="W216" s="26" t="s">
        <v>149</v>
      </c>
      <c r="X216" s="18">
        <v>8700</v>
      </c>
    </row>
    <row r="217" spans="2:24" ht="13.2">
      <c r="B217" s="83" t="s">
        <v>107</v>
      </c>
      <c r="C217" s="84" t="s">
        <v>224</v>
      </c>
      <c r="D217" s="84" t="s">
        <v>305</v>
      </c>
      <c r="E217" s="84" t="s">
        <v>316</v>
      </c>
      <c r="F217" s="99" t="s">
        <v>400</v>
      </c>
      <c r="G217" s="99" t="s">
        <v>405</v>
      </c>
      <c r="H217" s="84" t="s">
        <v>406</v>
      </c>
      <c r="I217" s="137">
        <v>46157</v>
      </c>
      <c r="J217" s="85" t="s">
        <v>423</v>
      </c>
      <c r="K217" s="161" t="s">
        <v>149</v>
      </c>
      <c r="L217" s="84" t="s">
        <v>427</v>
      </c>
      <c r="M217" s="84" t="s">
        <v>150</v>
      </c>
      <c r="N217" s="84" t="s">
        <v>149</v>
      </c>
      <c r="O217" s="162" t="s">
        <v>41</v>
      </c>
      <c r="P217" s="163" t="s">
        <v>41</v>
      </c>
      <c r="Q217" s="163" t="s">
        <v>41</v>
      </c>
      <c r="R217" s="60" t="s">
        <v>149</v>
      </c>
      <c r="S217" s="78" t="s">
        <v>149</v>
      </c>
      <c r="T217" s="128" t="s">
        <v>149</v>
      </c>
      <c r="U217" s="31" t="s">
        <v>149</v>
      </c>
      <c r="V217" s="23" t="s">
        <v>149</v>
      </c>
      <c r="W217" s="26" t="s">
        <v>149</v>
      </c>
      <c r="X217" s="18">
        <v>4500</v>
      </c>
    </row>
    <row r="218" spans="2:24" ht="13.2">
      <c r="B218" s="83" t="s">
        <v>107</v>
      </c>
      <c r="C218" s="84" t="s">
        <v>224</v>
      </c>
      <c r="D218" s="84" t="s">
        <v>303</v>
      </c>
      <c r="E218" s="84" t="s">
        <v>316</v>
      </c>
      <c r="F218" s="99" t="s">
        <v>400</v>
      </c>
      <c r="G218" s="99" t="s">
        <v>405</v>
      </c>
      <c r="H218" s="84" t="s">
        <v>406</v>
      </c>
      <c r="I218" s="137">
        <v>46157</v>
      </c>
      <c r="J218" s="85" t="s">
        <v>423</v>
      </c>
      <c r="K218" s="161" t="s">
        <v>149</v>
      </c>
      <c r="L218" s="84" t="s">
        <v>427</v>
      </c>
      <c r="M218" s="84" t="s">
        <v>150</v>
      </c>
      <c r="N218" s="84" t="s">
        <v>149</v>
      </c>
      <c r="O218" s="162" t="s">
        <v>41</v>
      </c>
      <c r="P218" s="163" t="s">
        <v>41</v>
      </c>
      <c r="Q218" s="163" t="s">
        <v>41</v>
      </c>
      <c r="R218" s="60" t="s">
        <v>149</v>
      </c>
      <c r="S218" s="78" t="s">
        <v>149</v>
      </c>
      <c r="T218" s="128" t="s">
        <v>149</v>
      </c>
      <c r="U218" s="31" t="s">
        <v>149</v>
      </c>
      <c r="V218" s="23" t="s">
        <v>149</v>
      </c>
      <c r="W218" s="26" t="s">
        <v>149</v>
      </c>
      <c r="X218" s="18">
        <v>1900</v>
      </c>
    </row>
    <row r="219" spans="2:24" ht="13.2">
      <c r="B219" s="83" t="s">
        <v>107</v>
      </c>
      <c r="C219" s="84" t="s">
        <v>224</v>
      </c>
      <c r="D219" s="84" t="s">
        <v>298</v>
      </c>
      <c r="E219" s="84" t="s">
        <v>317</v>
      </c>
      <c r="F219" s="99" t="s">
        <v>400</v>
      </c>
      <c r="G219" s="99" t="s">
        <v>405</v>
      </c>
      <c r="H219" s="84" t="s">
        <v>406</v>
      </c>
      <c r="I219" s="137">
        <v>46157</v>
      </c>
      <c r="J219" s="85" t="s">
        <v>423</v>
      </c>
      <c r="K219" s="161" t="s">
        <v>149</v>
      </c>
      <c r="L219" s="84" t="s">
        <v>434</v>
      </c>
      <c r="M219" s="84" t="s">
        <v>433</v>
      </c>
      <c r="N219" s="84" t="s">
        <v>426</v>
      </c>
      <c r="O219" s="162" t="s">
        <v>436</v>
      </c>
      <c r="P219" s="163" t="s">
        <v>437</v>
      </c>
      <c r="Q219" s="163" t="s">
        <v>41</v>
      </c>
      <c r="R219" s="60" t="s">
        <v>149</v>
      </c>
      <c r="S219" s="78" t="s">
        <v>149</v>
      </c>
      <c r="T219" s="128" t="s">
        <v>149</v>
      </c>
      <c r="U219" s="31" t="s">
        <v>149</v>
      </c>
      <c r="V219" s="23" t="s">
        <v>149</v>
      </c>
      <c r="W219" s="26" t="s">
        <v>149</v>
      </c>
      <c r="X219" s="18">
        <v>3000</v>
      </c>
    </row>
    <row r="220" spans="2:24" ht="13.2">
      <c r="B220" s="83" t="s">
        <v>107</v>
      </c>
      <c r="C220" s="84" t="s">
        <v>224</v>
      </c>
      <c r="D220" s="84" t="s">
        <v>299</v>
      </c>
      <c r="E220" s="84" t="s">
        <v>317</v>
      </c>
      <c r="F220" s="99" t="s">
        <v>400</v>
      </c>
      <c r="G220" s="99" t="s">
        <v>405</v>
      </c>
      <c r="H220" s="84" t="s">
        <v>406</v>
      </c>
      <c r="I220" s="137">
        <v>46157</v>
      </c>
      <c r="J220" s="85" t="s">
        <v>423</v>
      </c>
      <c r="K220" s="161" t="s">
        <v>149</v>
      </c>
      <c r="L220" s="84" t="s">
        <v>427</v>
      </c>
      <c r="M220" s="84" t="s">
        <v>150</v>
      </c>
      <c r="N220" s="84" t="s">
        <v>149</v>
      </c>
      <c r="O220" s="162" t="s">
        <v>41</v>
      </c>
      <c r="P220" s="163" t="s">
        <v>41</v>
      </c>
      <c r="Q220" s="163" t="s">
        <v>41</v>
      </c>
      <c r="R220" s="60" t="s">
        <v>149</v>
      </c>
      <c r="S220" s="78" t="s">
        <v>149</v>
      </c>
      <c r="T220" s="128" t="s">
        <v>149</v>
      </c>
      <c r="U220" s="31" t="s">
        <v>149</v>
      </c>
      <c r="V220" s="23" t="s">
        <v>149</v>
      </c>
      <c r="W220" s="26" t="s">
        <v>149</v>
      </c>
      <c r="X220" s="18">
        <v>3300</v>
      </c>
    </row>
    <row r="221" spans="2:24" ht="13.2">
      <c r="B221" s="83" t="s">
        <v>107</v>
      </c>
      <c r="C221" s="84" t="s">
        <v>224</v>
      </c>
      <c r="D221" s="84" t="s">
        <v>300</v>
      </c>
      <c r="E221" s="84" t="s">
        <v>317</v>
      </c>
      <c r="F221" s="99" t="s">
        <v>400</v>
      </c>
      <c r="G221" s="99" t="s">
        <v>405</v>
      </c>
      <c r="H221" s="84" t="s">
        <v>406</v>
      </c>
      <c r="I221" s="137">
        <v>46157</v>
      </c>
      <c r="J221" s="85" t="s">
        <v>423</v>
      </c>
      <c r="K221" s="161" t="s">
        <v>149</v>
      </c>
      <c r="L221" s="84" t="s">
        <v>434</v>
      </c>
      <c r="M221" s="84" t="s">
        <v>150</v>
      </c>
      <c r="N221" s="84" t="s">
        <v>149</v>
      </c>
      <c r="O221" s="162" t="s">
        <v>431</v>
      </c>
      <c r="P221" s="163" t="s">
        <v>437</v>
      </c>
      <c r="Q221" s="163" t="s">
        <v>41</v>
      </c>
      <c r="R221" s="60" t="s">
        <v>149</v>
      </c>
      <c r="S221" s="78" t="s">
        <v>149</v>
      </c>
      <c r="T221" s="128" t="s">
        <v>149</v>
      </c>
      <c r="U221" s="31" t="s">
        <v>149</v>
      </c>
      <c r="V221" s="23" t="s">
        <v>149</v>
      </c>
      <c r="W221" s="26" t="s">
        <v>149</v>
      </c>
      <c r="X221" s="18">
        <v>4000</v>
      </c>
    </row>
    <row r="222" spans="2:24" ht="13.2">
      <c r="B222" s="83" t="s">
        <v>107</v>
      </c>
      <c r="C222" s="84" t="s">
        <v>224</v>
      </c>
      <c r="D222" s="84" t="s">
        <v>301</v>
      </c>
      <c r="E222" s="84" t="s">
        <v>317</v>
      </c>
      <c r="F222" s="99" t="s">
        <v>400</v>
      </c>
      <c r="G222" s="99" t="s">
        <v>405</v>
      </c>
      <c r="H222" s="84" t="s">
        <v>406</v>
      </c>
      <c r="I222" s="137">
        <v>46157</v>
      </c>
      <c r="J222" s="85" t="s">
        <v>423</v>
      </c>
      <c r="K222" s="161" t="s">
        <v>149</v>
      </c>
      <c r="L222" s="84" t="s">
        <v>427</v>
      </c>
      <c r="M222" s="84" t="s">
        <v>150</v>
      </c>
      <c r="N222" s="84" t="s">
        <v>149</v>
      </c>
      <c r="O222" s="162" t="s">
        <v>41</v>
      </c>
      <c r="P222" s="163" t="s">
        <v>41</v>
      </c>
      <c r="Q222" s="163" t="s">
        <v>41</v>
      </c>
      <c r="R222" s="60" t="s">
        <v>149</v>
      </c>
      <c r="S222" s="78" t="s">
        <v>149</v>
      </c>
      <c r="T222" s="128" t="s">
        <v>149</v>
      </c>
      <c r="U222" s="31" t="s">
        <v>149</v>
      </c>
      <c r="V222" s="23" t="s">
        <v>149</v>
      </c>
      <c r="W222" s="26" t="s">
        <v>149</v>
      </c>
      <c r="X222" s="18">
        <v>7400</v>
      </c>
    </row>
    <row r="223" spans="2:24" ht="13.2">
      <c r="B223" s="83" t="s">
        <v>107</v>
      </c>
      <c r="C223" s="84" t="s">
        <v>224</v>
      </c>
      <c r="D223" s="84" t="s">
        <v>309</v>
      </c>
      <c r="E223" s="84" t="s">
        <v>317</v>
      </c>
      <c r="F223" s="99" t="s">
        <v>400</v>
      </c>
      <c r="G223" s="99" t="s">
        <v>405</v>
      </c>
      <c r="H223" s="84" t="s">
        <v>406</v>
      </c>
      <c r="I223" s="137">
        <v>46157</v>
      </c>
      <c r="J223" s="85" t="s">
        <v>423</v>
      </c>
      <c r="K223" s="161" t="s">
        <v>149</v>
      </c>
      <c r="L223" s="84" t="s">
        <v>434</v>
      </c>
      <c r="M223" s="84" t="s">
        <v>150</v>
      </c>
      <c r="N223" s="84" t="s">
        <v>149</v>
      </c>
      <c r="O223" s="162" t="s">
        <v>431</v>
      </c>
      <c r="P223" s="163" t="s">
        <v>437</v>
      </c>
      <c r="Q223" s="163" t="s">
        <v>41</v>
      </c>
      <c r="R223" s="60" t="s">
        <v>149</v>
      </c>
      <c r="S223" s="78" t="s">
        <v>149</v>
      </c>
      <c r="T223" s="128" t="s">
        <v>149</v>
      </c>
      <c r="U223" s="31" t="s">
        <v>149</v>
      </c>
      <c r="V223" s="23" t="s">
        <v>149</v>
      </c>
      <c r="W223" s="26" t="s">
        <v>149</v>
      </c>
      <c r="X223" s="18">
        <v>9200</v>
      </c>
    </row>
    <row r="224" spans="2:24" ht="13.2">
      <c r="B224" s="83" t="s">
        <v>107</v>
      </c>
      <c r="C224" s="84" t="s">
        <v>224</v>
      </c>
      <c r="D224" s="84" t="s">
        <v>302</v>
      </c>
      <c r="E224" s="84" t="s">
        <v>317</v>
      </c>
      <c r="F224" s="99" t="s">
        <v>400</v>
      </c>
      <c r="G224" s="99" t="s">
        <v>405</v>
      </c>
      <c r="H224" s="84" t="s">
        <v>406</v>
      </c>
      <c r="I224" s="137">
        <v>46157</v>
      </c>
      <c r="J224" s="85" t="s">
        <v>423</v>
      </c>
      <c r="K224" s="161" t="s">
        <v>149</v>
      </c>
      <c r="L224" s="84" t="s">
        <v>427</v>
      </c>
      <c r="M224" s="84" t="s">
        <v>150</v>
      </c>
      <c r="N224" s="84" t="s">
        <v>149</v>
      </c>
      <c r="O224" s="162" t="s">
        <v>41</v>
      </c>
      <c r="P224" s="163" t="s">
        <v>41</v>
      </c>
      <c r="Q224" s="163" t="s">
        <v>41</v>
      </c>
      <c r="R224" s="60" t="s">
        <v>149</v>
      </c>
      <c r="S224" s="78" t="s">
        <v>149</v>
      </c>
      <c r="T224" s="128" t="s">
        <v>149</v>
      </c>
      <c r="U224" s="31" t="s">
        <v>149</v>
      </c>
      <c r="V224" s="23" t="s">
        <v>149</v>
      </c>
      <c r="W224" s="26" t="s">
        <v>149</v>
      </c>
      <c r="X224" s="18">
        <v>2100</v>
      </c>
    </row>
    <row r="225" spans="2:24" ht="13.2">
      <c r="B225" s="83" t="s">
        <v>107</v>
      </c>
      <c r="C225" s="84" t="s">
        <v>224</v>
      </c>
      <c r="D225" s="84" t="s">
        <v>312</v>
      </c>
      <c r="E225" s="84" t="s">
        <v>317</v>
      </c>
      <c r="F225" s="99" t="s">
        <v>400</v>
      </c>
      <c r="G225" s="99" t="s">
        <v>405</v>
      </c>
      <c r="H225" s="84" t="s">
        <v>406</v>
      </c>
      <c r="I225" s="137">
        <v>46157</v>
      </c>
      <c r="J225" s="85" t="s">
        <v>423</v>
      </c>
      <c r="K225" s="161" t="s">
        <v>149</v>
      </c>
      <c r="L225" s="84" t="s">
        <v>427</v>
      </c>
      <c r="M225" s="84" t="s">
        <v>150</v>
      </c>
      <c r="N225" s="84" t="s">
        <v>149</v>
      </c>
      <c r="O225" s="162" t="s">
        <v>41</v>
      </c>
      <c r="P225" s="163" t="s">
        <v>41</v>
      </c>
      <c r="Q225" s="163" t="s">
        <v>41</v>
      </c>
      <c r="R225" s="60" t="s">
        <v>149</v>
      </c>
      <c r="S225" s="78" t="s">
        <v>149</v>
      </c>
      <c r="T225" s="128" t="s">
        <v>149</v>
      </c>
      <c r="U225" s="31" t="s">
        <v>149</v>
      </c>
      <c r="V225" s="23" t="s">
        <v>149</v>
      </c>
      <c r="W225" s="26" t="s">
        <v>149</v>
      </c>
      <c r="X225" s="18">
        <v>7900</v>
      </c>
    </row>
    <row r="226" spans="2:24" ht="13.2">
      <c r="B226" s="83" t="s">
        <v>107</v>
      </c>
      <c r="C226" s="84" t="s">
        <v>224</v>
      </c>
      <c r="D226" s="84" t="s">
        <v>305</v>
      </c>
      <c r="E226" s="84" t="s">
        <v>317</v>
      </c>
      <c r="F226" s="99" t="s">
        <v>400</v>
      </c>
      <c r="G226" s="99" t="s">
        <v>405</v>
      </c>
      <c r="H226" s="84" t="s">
        <v>406</v>
      </c>
      <c r="I226" s="137">
        <v>46157</v>
      </c>
      <c r="J226" s="85" t="s">
        <v>423</v>
      </c>
      <c r="K226" s="161" t="s">
        <v>149</v>
      </c>
      <c r="L226" s="84" t="s">
        <v>427</v>
      </c>
      <c r="M226" s="84" t="s">
        <v>150</v>
      </c>
      <c r="N226" s="84" t="s">
        <v>149</v>
      </c>
      <c r="O226" s="162" t="s">
        <v>41</v>
      </c>
      <c r="P226" s="163" t="s">
        <v>41</v>
      </c>
      <c r="Q226" s="163" t="s">
        <v>41</v>
      </c>
      <c r="R226" s="60" t="s">
        <v>149</v>
      </c>
      <c r="S226" s="78" t="s">
        <v>149</v>
      </c>
      <c r="T226" s="128" t="s">
        <v>149</v>
      </c>
      <c r="U226" s="31" t="s">
        <v>149</v>
      </c>
      <c r="V226" s="23" t="s">
        <v>149</v>
      </c>
      <c r="W226" s="26" t="s">
        <v>149</v>
      </c>
      <c r="X226" s="18">
        <v>4500</v>
      </c>
    </row>
    <row r="227" spans="2:24" ht="13.2">
      <c r="B227" s="83" t="s">
        <v>107</v>
      </c>
      <c r="C227" s="84" t="s">
        <v>224</v>
      </c>
      <c r="D227" s="84" t="s">
        <v>308</v>
      </c>
      <c r="E227" s="84" t="s">
        <v>317</v>
      </c>
      <c r="F227" s="99" t="s">
        <v>400</v>
      </c>
      <c r="G227" s="99" t="s">
        <v>405</v>
      </c>
      <c r="H227" s="84" t="s">
        <v>406</v>
      </c>
      <c r="I227" s="137">
        <v>46157</v>
      </c>
      <c r="J227" s="85" t="s">
        <v>423</v>
      </c>
      <c r="K227" s="161" t="s">
        <v>149</v>
      </c>
      <c r="L227" s="84" t="s">
        <v>427</v>
      </c>
      <c r="M227" s="84" t="s">
        <v>433</v>
      </c>
      <c r="N227" s="84" t="s">
        <v>426</v>
      </c>
      <c r="O227" s="162" t="s">
        <v>41</v>
      </c>
      <c r="P227" s="163" t="s">
        <v>41</v>
      </c>
      <c r="Q227" s="163" t="s">
        <v>41</v>
      </c>
      <c r="R227" s="60" t="s">
        <v>149</v>
      </c>
      <c r="S227" s="78" t="s">
        <v>149</v>
      </c>
      <c r="T227" s="128" t="s">
        <v>149</v>
      </c>
      <c r="U227" s="31" t="s">
        <v>149</v>
      </c>
      <c r="V227" s="23" t="s">
        <v>149</v>
      </c>
      <c r="W227" s="26" t="s">
        <v>149</v>
      </c>
      <c r="X227" s="18">
        <v>8700</v>
      </c>
    </row>
    <row r="228" spans="2:24" ht="13.2">
      <c r="B228" s="83" t="s">
        <v>107</v>
      </c>
      <c r="C228" s="84" t="s">
        <v>224</v>
      </c>
      <c r="D228" s="84" t="s">
        <v>303</v>
      </c>
      <c r="E228" s="84" t="s">
        <v>317</v>
      </c>
      <c r="F228" s="99" t="s">
        <v>400</v>
      </c>
      <c r="G228" s="99" t="s">
        <v>405</v>
      </c>
      <c r="H228" s="84" t="s">
        <v>406</v>
      </c>
      <c r="I228" s="137">
        <v>46157</v>
      </c>
      <c r="J228" s="85" t="s">
        <v>423</v>
      </c>
      <c r="K228" s="161" t="s">
        <v>149</v>
      </c>
      <c r="L228" s="84" t="s">
        <v>427</v>
      </c>
      <c r="M228" s="84" t="s">
        <v>150</v>
      </c>
      <c r="N228" s="84" t="s">
        <v>149</v>
      </c>
      <c r="O228" s="162" t="s">
        <v>41</v>
      </c>
      <c r="P228" s="163" t="s">
        <v>41</v>
      </c>
      <c r="Q228" s="163" t="s">
        <v>41</v>
      </c>
      <c r="R228" s="60" t="s">
        <v>149</v>
      </c>
      <c r="S228" s="78" t="s">
        <v>149</v>
      </c>
      <c r="T228" s="128" t="s">
        <v>149</v>
      </c>
      <c r="U228" s="31" t="s">
        <v>149</v>
      </c>
      <c r="V228" s="23" t="s">
        <v>149</v>
      </c>
      <c r="W228" s="26" t="s">
        <v>149</v>
      </c>
      <c r="X228" s="18">
        <v>1900</v>
      </c>
    </row>
    <row r="229" spans="2:24" ht="13.2">
      <c r="B229" s="83" t="s">
        <v>107</v>
      </c>
      <c r="C229" s="84" t="s">
        <v>224</v>
      </c>
      <c r="D229" s="84" t="s">
        <v>298</v>
      </c>
      <c r="E229" s="84" t="s">
        <v>318</v>
      </c>
      <c r="F229" s="99" t="s">
        <v>400</v>
      </c>
      <c r="G229" s="99" t="s">
        <v>405</v>
      </c>
      <c r="H229" s="84" t="s">
        <v>406</v>
      </c>
      <c r="I229" s="137">
        <v>46157</v>
      </c>
      <c r="J229" s="85" t="s">
        <v>413</v>
      </c>
      <c r="K229" s="161" t="s">
        <v>149</v>
      </c>
      <c r="L229" s="84" t="s">
        <v>427</v>
      </c>
      <c r="M229" s="84" t="s">
        <v>150</v>
      </c>
      <c r="N229" s="84" t="s">
        <v>426</v>
      </c>
      <c r="O229" s="162" t="s">
        <v>41</v>
      </c>
      <c r="P229" s="163" t="s">
        <v>41</v>
      </c>
      <c r="Q229" s="163" t="s">
        <v>41</v>
      </c>
      <c r="R229" s="60" t="s">
        <v>149</v>
      </c>
      <c r="S229" s="78" t="s">
        <v>149</v>
      </c>
      <c r="T229" s="128" t="s">
        <v>149</v>
      </c>
      <c r="U229" s="31" t="s">
        <v>149</v>
      </c>
      <c r="V229" s="23" t="s">
        <v>149</v>
      </c>
      <c r="W229" s="26" t="s">
        <v>149</v>
      </c>
      <c r="X229" s="18">
        <v>3000</v>
      </c>
    </row>
    <row r="230" spans="2:24" ht="13.2">
      <c r="B230" s="83" t="s">
        <v>107</v>
      </c>
      <c r="C230" s="84" t="s">
        <v>224</v>
      </c>
      <c r="D230" s="84" t="s">
        <v>311</v>
      </c>
      <c r="E230" s="84" t="s">
        <v>318</v>
      </c>
      <c r="F230" s="99" t="s">
        <v>400</v>
      </c>
      <c r="G230" s="99" t="s">
        <v>405</v>
      </c>
      <c r="H230" s="84" t="s">
        <v>406</v>
      </c>
      <c r="I230" s="137">
        <v>46151</v>
      </c>
      <c r="J230" s="85" t="s">
        <v>413</v>
      </c>
      <c r="K230" s="161" t="s">
        <v>149</v>
      </c>
      <c r="L230" s="84" t="s">
        <v>427</v>
      </c>
      <c r="M230" s="84" t="s">
        <v>150</v>
      </c>
      <c r="N230" s="84" t="s">
        <v>426</v>
      </c>
      <c r="O230" s="162" t="s">
        <v>41</v>
      </c>
      <c r="P230" s="163" t="s">
        <v>41</v>
      </c>
      <c r="Q230" s="163" t="s">
        <v>41</v>
      </c>
      <c r="R230" s="60" t="s">
        <v>149</v>
      </c>
      <c r="S230" s="78" t="s">
        <v>149</v>
      </c>
      <c r="T230" s="128" t="s">
        <v>149</v>
      </c>
      <c r="U230" s="31" t="s">
        <v>149</v>
      </c>
      <c r="V230" s="23" t="s">
        <v>149</v>
      </c>
      <c r="W230" s="26" t="s">
        <v>149</v>
      </c>
      <c r="X230" s="18">
        <v>7100</v>
      </c>
    </row>
    <row r="231" spans="2:24" ht="13.2">
      <c r="B231" s="83" t="s">
        <v>107</v>
      </c>
      <c r="C231" s="84" t="s">
        <v>224</v>
      </c>
      <c r="D231" s="84" t="s">
        <v>307</v>
      </c>
      <c r="E231" s="84" t="s">
        <v>318</v>
      </c>
      <c r="F231" s="99" t="s">
        <v>400</v>
      </c>
      <c r="G231" s="99" t="s">
        <v>405</v>
      </c>
      <c r="H231" s="84" t="s">
        <v>406</v>
      </c>
      <c r="I231" s="137">
        <v>46151</v>
      </c>
      <c r="J231" s="85" t="s">
        <v>413</v>
      </c>
      <c r="K231" s="161" t="s">
        <v>149</v>
      </c>
      <c r="L231" s="84" t="s">
        <v>427</v>
      </c>
      <c r="M231" s="84" t="s">
        <v>150</v>
      </c>
      <c r="N231" s="84" t="s">
        <v>426</v>
      </c>
      <c r="O231" s="162" t="s">
        <v>41</v>
      </c>
      <c r="P231" s="163" t="s">
        <v>41</v>
      </c>
      <c r="Q231" s="163" t="s">
        <v>41</v>
      </c>
      <c r="R231" s="60" t="s">
        <v>149</v>
      </c>
      <c r="S231" s="78" t="s">
        <v>149</v>
      </c>
      <c r="T231" s="128" t="s">
        <v>149</v>
      </c>
      <c r="U231" s="31" t="s">
        <v>149</v>
      </c>
      <c r="V231" s="23" t="s">
        <v>149</v>
      </c>
      <c r="W231" s="26" t="s">
        <v>149</v>
      </c>
      <c r="X231" s="18">
        <v>4800</v>
      </c>
    </row>
    <row r="232" spans="2:24" ht="13.2">
      <c r="B232" s="83" t="s">
        <v>107</v>
      </c>
      <c r="C232" s="84" t="s">
        <v>224</v>
      </c>
      <c r="D232" s="84" t="s">
        <v>308</v>
      </c>
      <c r="E232" s="84" t="s">
        <v>318</v>
      </c>
      <c r="F232" s="99" t="s">
        <v>400</v>
      </c>
      <c r="G232" s="99" t="s">
        <v>405</v>
      </c>
      <c r="H232" s="84" t="s">
        <v>406</v>
      </c>
      <c r="I232" s="137">
        <v>46157</v>
      </c>
      <c r="J232" s="85" t="s">
        <v>413</v>
      </c>
      <c r="K232" s="161" t="s">
        <v>149</v>
      </c>
      <c r="L232" s="84" t="s">
        <v>427</v>
      </c>
      <c r="M232" s="84" t="s">
        <v>150</v>
      </c>
      <c r="N232" s="84" t="s">
        <v>427</v>
      </c>
      <c r="O232" s="162" t="s">
        <v>41</v>
      </c>
      <c r="P232" s="163" t="s">
        <v>41</v>
      </c>
      <c r="Q232" s="163" t="s">
        <v>41</v>
      </c>
      <c r="R232" s="60" t="s">
        <v>149</v>
      </c>
      <c r="S232" s="78" t="s">
        <v>149</v>
      </c>
      <c r="T232" s="128" t="s">
        <v>149</v>
      </c>
      <c r="U232" s="31" t="s">
        <v>149</v>
      </c>
      <c r="V232" s="23" t="s">
        <v>149</v>
      </c>
      <c r="W232" s="26" t="s">
        <v>149</v>
      </c>
      <c r="X232" s="18">
        <v>8700</v>
      </c>
    </row>
    <row r="233" spans="2:24" ht="13.2">
      <c r="B233" s="83" t="s">
        <v>107</v>
      </c>
      <c r="C233" s="84" t="s">
        <v>224</v>
      </c>
      <c r="D233" s="84" t="s">
        <v>309</v>
      </c>
      <c r="E233" s="84" t="s">
        <v>318</v>
      </c>
      <c r="F233" s="99" t="s">
        <v>400</v>
      </c>
      <c r="G233" s="99" t="s">
        <v>405</v>
      </c>
      <c r="H233" s="84" t="s">
        <v>406</v>
      </c>
      <c r="I233" s="137">
        <v>46157</v>
      </c>
      <c r="J233" s="85" t="s">
        <v>413</v>
      </c>
      <c r="K233" s="161" t="s">
        <v>149</v>
      </c>
      <c r="L233" s="84" t="s">
        <v>427</v>
      </c>
      <c r="M233" s="84" t="s">
        <v>150</v>
      </c>
      <c r="N233" s="84" t="s">
        <v>427</v>
      </c>
      <c r="O233" s="162" t="s">
        <v>41</v>
      </c>
      <c r="P233" s="163" t="s">
        <v>41</v>
      </c>
      <c r="Q233" s="163" t="s">
        <v>41</v>
      </c>
      <c r="R233" s="60" t="s">
        <v>149</v>
      </c>
      <c r="S233" s="78" t="s">
        <v>149</v>
      </c>
      <c r="T233" s="128" t="s">
        <v>149</v>
      </c>
      <c r="U233" s="31" t="s">
        <v>149</v>
      </c>
      <c r="V233" s="23" t="s">
        <v>149</v>
      </c>
      <c r="W233" s="26" t="s">
        <v>149</v>
      </c>
      <c r="X233" s="18">
        <v>9200</v>
      </c>
    </row>
    <row r="234" spans="2:24" ht="13.2">
      <c r="B234" s="83" t="s">
        <v>107</v>
      </c>
      <c r="C234" s="84" t="s">
        <v>224</v>
      </c>
      <c r="D234" s="84" t="s">
        <v>299</v>
      </c>
      <c r="E234" s="84" t="s">
        <v>318</v>
      </c>
      <c r="F234" s="99" t="s">
        <v>400</v>
      </c>
      <c r="G234" s="99" t="s">
        <v>405</v>
      </c>
      <c r="H234" s="84" t="s">
        <v>406</v>
      </c>
      <c r="I234" s="137">
        <v>46157</v>
      </c>
      <c r="J234" s="85" t="s">
        <v>413</v>
      </c>
      <c r="K234" s="161" t="s">
        <v>149</v>
      </c>
      <c r="L234" s="84" t="s">
        <v>427</v>
      </c>
      <c r="M234" s="84" t="s">
        <v>150</v>
      </c>
      <c r="N234" s="84" t="s">
        <v>426</v>
      </c>
      <c r="O234" s="162" t="s">
        <v>41</v>
      </c>
      <c r="P234" s="163" t="s">
        <v>41</v>
      </c>
      <c r="Q234" s="163" t="s">
        <v>41</v>
      </c>
      <c r="R234" s="60" t="s">
        <v>149</v>
      </c>
      <c r="S234" s="78" t="s">
        <v>149</v>
      </c>
      <c r="T234" s="128" t="s">
        <v>149</v>
      </c>
      <c r="U234" s="31" t="s">
        <v>149</v>
      </c>
      <c r="V234" s="23" t="s">
        <v>149</v>
      </c>
      <c r="W234" s="26" t="s">
        <v>149</v>
      </c>
      <c r="X234" s="18">
        <v>3300</v>
      </c>
    </row>
    <row r="235" spans="2:24" ht="13.2">
      <c r="B235" s="83" t="s">
        <v>107</v>
      </c>
      <c r="C235" s="84" t="s">
        <v>224</v>
      </c>
      <c r="D235" s="84" t="s">
        <v>312</v>
      </c>
      <c r="E235" s="84" t="s">
        <v>318</v>
      </c>
      <c r="F235" s="99" t="s">
        <v>400</v>
      </c>
      <c r="G235" s="99" t="s">
        <v>405</v>
      </c>
      <c r="H235" s="84" t="s">
        <v>406</v>
      </c>
      <c r="I235" s="137">
        <v>46157</v>
      </c>
      <c r="J235" s="85" t="s">
        <v>413</v>
      </c>
      <c r="K235" s="161" t="s">
        <v>149</v>
      </c>
      <c r="L235" s="84" t="s">
        <v>427</v>
      </c>
      <c r="M235" s="84" t="s">
        <v>150</v>
      </c>
      <c r="N235" s="84" t="s">
        <v>427</v>
      </c>
      <c r="O235" s="162" t="s">
        <v>41</v>
      </c>
      <c r="P235" s="163" t="s">
        <v>41</v>
      </c>
      <c r="Q235" s="163" t="s">
        <v>41</v>
      </c>
      <c r="R235" s="60" t="s">
        <v>149</v>
      </c>
      <c r="S235" s="78" t="s">
        <v>149</v>
      </c>
      <c r="T235" s="128" t="s">
        <v>149</v>
      </c>
      <c r="U235" s="31" t="s">
        <v>149</v>
      </c>
      <c r="V235" s="23" t="s">
        <v>149</v>
      </c>
      <c r="W235" s="26" t="s">
        <v>149</v>
      </c>
      <c r="X235" s="18">
        <v>7900</v>
      </c>
    </row>
    <row r="236" spans="2:24" ht="13.2">
      <c r="B236" s="83" t="s">
        <v>107</v>
      </c>
      <c r="C236" s="84" t="s">
        <v>224</v>
      </c>
      <c r="D236" s="84" t="s">
        <v>310</v>
      </c>
      <c r="E236" s="84" t="s">
        <v>318</v>
      </c>
      <c r="F236" s="99" t="s">
        <v>400</v>
      </c>
      <c r="G236" s="99" t="s">
        <v>405</v>
      </c>
      <c r="H236" s="84" t="s">
        <v>406</v>
      </c>
      <c r="I236" s="137">
        <v>46157</v>
      </c>
      <c r="J236" s="85" t="s">
        <v>413</v>
      </c>
      <c r="K236" s="161" t="s">
        <v>149</v>
      </c>
      <c r="L236" s="84" t="s">
        <v>427</v>
      </c>
      <c r="M236" s="84" t="s">
        <v>150</v>
      </c>
      <c r="N236" s="84" t="s">
        <v>427</v>
      </c>
      <c r="O236" s="162" t="s">
        <v>41</v>
      </c>
      <c r="P236" s="163" t="s">
        <v>41</v>
      </c>
      <c r="Q236" s="163" t="s">
        <v>41</v>
      </c>
      <c r="R236" s="60" t="s">
        <v>149</v>
      </c>
      <c r="S236" s="78" t="s">
        <v>149</v>
      </c>
      <c r="T236" s="128" t="s">
        <v>149</v>
      </c>
      <c r="U236" s="31" t="s">
        <v>149</v>
      </c>
      <c r="V236" s="23" t="s">
        <v>149</v>
      </c>
      <c r="W236" s="26" t="s">
        <v>149</v>
      </c>
      <c r="X236" s="18">
        <v>1700</v>
      </c>
    </row>
    <row r="237" spans="2:24" ht="13.2">
      <c r="B237" s="83" t="s">
        <v>107</v>
      </c>
      <c r="C237" s="84" t="s">
        <v>224</v>
      </c>
      <c r="D237" s="84" t="s">
        <v>305</v>
      </c>
      <c r="E237" s="84" t="s">
        <v>318</v>
      </c>
      <c r="F237" s="99" t="s">
        <v>400</v>
      </c>
      <c r="G237" s="99" t="s">
        <v>405</v>
      </c>
      <c r="H237" s="84" t="s">
        <v>406</v>
      </c>
      <c r="I237" s="137">
        <v>46157</v>
      </c>
      <c r="J237" s="85" t="s">
        <v>413</v>
      </c>
      <c r="K237" s="161" t="s">
        <v>149</v>
      </c>
      <c r="L237" s="84" t="s">
        <v>150</v>
      </c>
      <c r="M237" s="84" t="s">
        <v>150</v>
      </c>
      <c r="N237" s="84" t="s">
        <v>427</v>
      </c>
      <c r="O237" s="162" t="s">
        <v>41</v>
      </c>
      <c r="P237" s="163" t="s">
        <v>41</v>
      </c>
      <c r="Q237" s="163" t="s">
        <v>41</v>
      </c>
      <c r="R237" s="60" t="s">
        <v>149</v>
      </c>
      <c r="S237" s="78" t="s">
        <v>149</v>
      </c>
      <c r="T237" s="128" t="s">
        <v>149</v>
      </c>
      <c r="U237" s="31" t="s">
        <v>149</v>
      </c>
      <c r="V237" s="23" t="s">
        <v>149</v>
      </c>
      <c r="W237" s="26" t="s">
        <v>149</v>
      </c>
      <c r="X237" s="18">
        <v>4500</v>
      </c>
    </row>
    <row r="238" spans="2:24" ht="13.2">
      <c r="B238" s="83" t="s">
        <v>207</v>
      </c>
      <c r="C238" s="84" t="s">
        <v>229</v>
      </c>
      <c r="D238" s="84" t="s">
        <v>267</v>
      </c>
      <c r="E238" s="84" t="s">
        <v>262</v>
      </c>
      <c r="F238" s="99" t="s">
        <v>403</v>
      </c>
      <c r="G238" s="84" t="s">
        <v>404</v>
      </c>
      <c r="H238" s="84" t="s">
        <v>406</v>
      </c>
      <c r="I238" s="137">
        <v>46191</v>
      </c>
      <c r="J238" s="85" t="s">
        <v>412</v>
      </c>
      <c r="K238" s="161"/>
      <c r="L238" s="84"/>
      <c r="M238" s="84"/>
      <c r="N238" s="84"/>
      <c r="O238" s="162"/>
      <c r="P238" s="163"/>
      <c r="Q238" s="163"/>
      <c r="R238" s="84"/>
      <c r="S238" s="164"/>
      <c r="T238" s="165"/>
      <c r="U238" s="86"/>
      <c r="V238" s="84"/>
      <c r="W238" s="87"/>
    </row>
    <row r="239" spans="2:24" ht="13.2">
      <c r="B239" s="83" t="s">
        <v>207</v>
      </c>
      <c r="C239" s="84" t="s">
        <v>229</v>
      </c>
      <c r="D239" s="84" t="s">
        <v>267</v>
      </c>
      <c r="E239" s="84" t="s">
        <v>271</v>
      </c>
      <c r="F239" s="99" t="s">
        <v>403</v>
      </c>
      <c r="G239" s="84" t="s">
        <v>404</v>
      </c>
      <c r="H239" s="84" t="s">
        <v>406</v>
      </c>
      <c r="I239" s="137">
        <v>46185</v>
      </c>
      <c r="J239" s="85" t="s">
        <v>413</v>
      </c>
      <c r="K239" s="161"/>
      <c r="L239" s="84"/>
      <c r="M239" s="84"/>
      <c r="N239" s="84"/>
      <c r="O239" s="162"/>
      <c r="P239" s="163"/>
      <c r="Q239" s="163"/>
      <c r="R239" s="84"/>
      <c r="S239" s="164"/>
      <c r="T239" s="165"/>
      <c r="U239" s="86"/>
      <c r="V239" s="84"/>
      <c r="W239" s="87"/>
    </row>
    <row r="240" spans="2:24" ht="13.2">
      <c r="B240" s="83" t="s">
        <v>207</v>
      </c>
      <c r="C240" s="84" t="s">
        <v>229</v>
      </c>
      <c r="D240" s="84" t="s">
        <v>267</v>
      </c>
      <c r="E240" s="84" t="s">
        <v>319</v>
      </c>
      <c r="F240" s="99" t="s">
        <v>403</v>
      </c>
      <c r="G240" s="84" t="s">
        <v>404</v>
      </c>
      <c r="H240" s="84" t="s">
        <v>406</v>
      </c>
      <c r="I240" s="137">
        <v>46191</v>
      </c>
      <c r="J240" s="85" t="s">
        <v>414</v>
      </c>
      <c r="K240" s="161"/>
      <c r="L240" s="84"/>
      <c r="M240" s="84"/>
      <c r="N240" s="84"/>
      <c r="O240" s="162"/>
      <c r="P240" s="163"/>
      <c r="Q240" s="163"/>
      <c r="R240" s="84"/>
      <c r="S240" s="164"/>
      <c r="T240" s="165"/>
      <c r="U240" s="86"/>
      <c r="V240" s="84"/>
      <c r="W240" s="87"/>
    </row>
    <row r="241" spans="1:23" ht="13.2">
      <c r="B241" s="83" t="s">
        <v>207</v>
      </c>
      <c r="C241" s="84" t="s">
        <v>229</v>
      </c>
      <c r="D241" s="84" t="s">
        <v>267</v>
      </c>
      <c r="E241" s="84" t="s">
        <v>315</v>
      </c>
      <c r="F241" s="99" t="s">
        <v>403</v>
      </c>
      <c r="G241" s="84" t="s">
        <v>404</v>
      </c>
      <c r="H241" s="84" t="s">
        <v>406</v>
      </c>
      <c r="I241" s="137">
        <v>46185</v>
      </c>
      <c r="J241" s="85" t="s">
        <v>414</v>
      </c>
      <c r="K241" s="161"/>
      <c r="L241" s="84"/>
      <c r="M241" s="84"/>
      <c r="N241" s="84"/>
      <c r="O241" s="162"/>
      <c r="P241" s="163"/>
      <c r="Q241" s="163"/>
      <c r="R241" s="84"/>
      <c r="S241" s="164"/>
      <c r="T241" s="165"/>
      <c r="U241" s="86"/>
      <c r="V241" s="84"/>
      <c r="W241" s="87"/>
    </row>
    <row r="242" spans="1:23" ht="13.2">
      <c r="B242" s="83"/>
      <c r="C242" s="84"/>
      <c r="D242" s="84"/>
      <c r="E242" s="84"/>
      <c r="F242" s="84"/>
      <c r="G242" s="84"/>
      <c r="H242" s="84"/>
      <c r="I242" s="84"/>
      <c r="J242" s="85"/>
      <c r="K242" s="104"/>
      <c r="L242" s="84"/>
      <c r="M242" s="84"/>
      <c r="N242" s="84"/>
      <c r="O242" s="84"/>
      <c r="P242" s="85"/>
      <c r="Q242" s="85"/>
      <c r="R242" s="84"/>
      <c r="S242" s="105"/>
      <c r="T242" s="129"/>
      <c r="U242" s="86"/>
      <c r="V242" s="84"/>
      <c r="W242" s="87"/>
    </row>
    <row r="243" spans="1:23" ht="13.8" thickBot="1">
      <c r="A243" s="69"/>
      <c r="B243" s="82"/>
      <c r="C243" s="81"/>
      <c r="D243" s="81"/>
      <c r="E243" s="81"/>
      <c r="F243" s="81"/>
      <c r="G243" s="81"/>
      <c r="H243" s="81"/>
      <c r="I243" s="81"/>
      <c r="J243" s="76"/>
      <c r="K243" s="132"/>
      <c r="L243" s="81"/>
      <c r="M243" s="81"/>
      <c r="N243" s="81"/>
      <c r="O243" s="81"/>
      <c r="P243" s="76"/>
      <c r="Q243" s="76"/>
      <c r="R243" s="81"/>
      <c r="S243" s="133"/>
      <c r="T243" s="134"/>
      <c r="U243" s="80"/>
      <c r="V243" s="81"/>
      <c r="W243" s="79"/>
    </row>
    <row r="244" spans="1:23" ht="13.2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</row>
    <row r="245" spans="1:23" ht="13.2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</row>
  </sheetData>
  <phoneticPr fontId="4" type="noConversion"/>
  <conditionalFormatting sqref="O3:P243">
    <cfRule type="expression" dxfId="1" priority="1">
      <formula>AND(O3&lt;&gt;"无", O3&lt;&gt;"")</formula>
    </cfRule>
    <cfRule type="expression" dxfId="0" priority="2">
      <formula>AND($A2&lt;&gt;"无", $A2&lt;&gt;"")</formula>
    </cfRule>
  </conditionalFormatting>
  <pageMargins left="0.7" right="0.7" top="0.75" bottom="0.75" header="0.3" footer="0.3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1:L26"/>
  <sheetViews>
    <sheetView workbookViewId="0">
      <pane xSplit="4" ySplit="2" topLeftCell="E3" activePane="bottomRight" state="frozen"/>
      <selection activeCell="D15" sqref="D15"/>
      <selection pane="topRight" activeCell="D15" sqref="D15"/>
      <selection pane="bottomLeft" activeCell="D15" sqref="D15"/>
      <selection pane="bottomRight" activeCell="F12" sqref="F12"/>
    </sheetView>
  </sheetViews>
  <sheetFormatPr defaultColWidth="9" defaultRowHeight="13.2"/>
  <cols>
    <col min="1" max="1" width="1.109375" style="18" customWidth="1"/>
    <col min="2" max="2" width="4.44140625" style="18" customWidth="1"/>
    <col min="3" max="3" width="8.21875" style="18" bestFit="1" customWidth="1"/>
    <col min="4" max="4" width="32.44140625" style="18" customWidth="1"/>
    <col min="5" max="5" width="14.88671875" style="18" bestFit="1" customWidth="1"/>
    <col min="6" max="6" width="28.88671875" style="18" bestFit="1" customWidth="1"/>
    <col min="7" max="7" width="20.88671875" style="18" bestFit="1" customWidth="1"/>
    <col min="8" max="8" width="9.88671875" style="18" bestFit="1" customWidth="1"/>
    <col min="9" max="9" width="13.5546875" style="18" bestFit="1" customWidth="1"/>
    <col min="10" max="10" width="10.6640625" style="18" customWidth="1"/>
    <col min="11" max="11" width="31.77734375" style="18" bestFit="1" customWidth="1"/>
    <col min="12" max="12" width="5.5546875" style="18" bestFit="1" customWidth="1"/>
    <col min="13" max="16384" width="9" style="18"/>
  </cols>
  <sheetData>
    <row r="1" spans="2:12" s="41" customFormat="1" ht="17.399999999999999" customHeight="1" thickBot="1">
      <c r="B1" s="136" t="s">
        <v>205</v>
      </c>
    </row>
    <row r="2" spans="2:12">
      <c r="B2" s="51" t="s">
        <v>167</v>
      </c>
      <c r="C2" s="52" t="s">
        <v>24</v>
      </c>
      <c r="D2" s="52" t="s">
        <v>166</v>
      </c>
      <c r="E2" s="52" t="s">
        <v>169</v>
      </c>
      <c r="F2" s="130" t="s">
        <v>170</v>
      </c>
      <c r="G2" s="135" t="s">
        <v>192</v>
      </c>
      <c r="H2" s="52" t="s">
        <v>168</v>
      </c>
      <c r="I2" s="52" t="s">
        <v>194</v>
      </c>
      <c r="J2" s="121" t="s">
        <v>195</v>
      </c>
      <c r="K2" s="53" t="s">
        <v>36</v>
      </c>
    </row>
    <row r="3" spans="2:12">
      <c r="B3" s="174">
        <v>1</v>
      </c>
      <c r="C3" s="175" t="s">
        <v>224</v>
      </c>
      <c r="D3" s="23" t="s">
        <v>298</v>
      </c>
      <c r="E3" s="175" t="s">
        <v>262</v>
      </c>
      <c r="F3" s="175" t="s">
        <v>438</v>
      </c>
      <c r="G3" s="175" t="s">
        <v>440</v>
      </c>
      <c r="H3" s="71">
        <v>46041</v>
      </c>
      <c r="I3" s="175" t="s">
        <v>414</v>
      </c>
      <c r="J3" s="124" t="s">
        <v>149</v>
      </c>
      <c r="K3" s="26" t="s">
        <v>449</v>
      </c>
      <c r="L3" s="18">
        <v>3000</v>
      </c>
    </row>
    <row r="4" spans="2:12">
      <c r="B4" s="174">
        <v>2</v>
      </c>
      <c r="C4" s="175" t="s">
        <v>224</v>
      </c>
      <c r="D4" s="175" t="s">
        <v>302</v>
      </c>
      <c r="E4" s="175" t="s">
        <v>262</v>
      </c>
      <c r="F4" s="175" t="s">
        <v>431</v>
      </c>
      <c r="G4" s="175" t="s">
        <v>437</v>
      </c>
      <c r="H4" s="71">
        <v>46154</v>
      </c>
      <c r="I4" s="175" t="s">
        <v>414</v>
      </c>
      <c r="J4" s="124"/>
      <c r="K4" s="26"/>
      <c r="L4" s="18">
        <v>2100</v>
      </c>
    </row>
    <row r="5" spans="2:12">
      <c r="B5" s="174">
        <v>3</v>
      </c>
      <c r="C5" s="175" t="s">
        <v>224</v>
      </c>
      <c r="D5" s="175" t="s">
        <v>298</v>
      </c>
      <c r="E5" s="175" t="s">
        <v>316</v>
      </c>
      <c r="F5" s="175" t="s">
        <v>435</v>
      </c>
      <c r="G5" s="175" t="s">
        <v>437</v>
      </c>
      <c r="H5" s="71">
        <v>46156</v>
      </c>
      <c r="I5" s="175" t="s">
        <v>424</v>
      </c>
      <c r="J5" s="124"/>
      <c r="K5" s="26"/>
      <c r="L5" s="18">
        <v>3000</v>
      </c>
    </row>
    <row r="6" spans="2:12">
      <c r="B6" s="174">
        <v>4</v>
      </c>
      <c r="C6" s="175" t="s">
        <v>224</v>
      </c>
      <c r="D6" s="175" t="s">
        <v>300</v>
      </c>
      <c r="E6" s="175" t="s">
        <v>316</v>
      </c>
      <c r="F6" s="175" t="s">
        <v>431</v>
      </c>
      <c r="G6" s="175" t="s">
        <v>437</v>
      </c>
      <c r="H6" s="71">
        <v>46156</v>
      </c>
      <c r="I6" s="175" t="s">
        <v>424</v>
      </c>
      <c r="J6" s="124"/>
      <c r="K6" s="26"/>
      <c r="L6" s="18">
        <v>4000</v>
      </c>
    </row>
    <row r="7" spans="2:12">
      <c r="B7" s="174">
        <v>5</v>
      </c>
      <c r="C7" s="175" t="s">
        <v>224</v>
      </c>
      <c r="D7" s="175" t="s">
        <v>298</v>
      </c>
      <c r="E7" s="34" t="s">
        <v>317</v>
      </c>
      <c r="F7" s="34" t="s">
        <v>435</v>
      </c>
      <c r="G7" s="34" t="s">
        <v>437</v>
      </c>
      <c r="H7" s="71">
        <v>46156</v>
      </c>
      <c r="I7" s="175" t="s">
        <v>424</v>
      </c>
      <c r="J7" s="124"/>
      <c r="K7" s="26"/>
      <c r="L7" s="18">
        <v>3000</v>
      </c>
    </row>
    <row r="8" spans="2:12">
      <c r="B8" s="174">
        <v>6</v>
      </c>
      <c r="C8" s="175" t="s">
        <v>224</v>
      </c>
      <c r="D8" s="175" t="s">
        <v>300</v>
      </c>
      <c r="E8" s="34" t="s">
        <v>317</v>
      </c>
      <c r="F8" s="34" t="s">
        <v>431</v>
      </c>
      <c r="G8" s="34" t="s">
        <v>437</v>
      </c>
      <c r="H8" s="71">
        <v>46156</v>
      </c>
      <c r="I8" s="175" t="s">
        <v>424</v>
      </c>
      <c r="J8" s="124"/>
      <c r="K8" s="26"/>
      <c r="L8" s="18">
        <v>4000</v>
      </c>
    </row>
    <row r="9" spans="2:12">
      <c r="B9" s="174">
        <v>7</v>
      </c>
      <c r="C9" s="175" t="s">
        <v>224</v>
      </c>
      <c r="D9" s="175" t="s">
        <v>309</v>
      </c>
      <c r="E9" s="34" t="s">
        <v>317</v>
      </c>
      <c r="F9" s="34" t="s">
        <v>431</v>
      </c>
      <c r="G9" s="34" t="s">
        <v>437</v>
      </c>
      <c r="H9" s="71">
        <v>46156</v>
      </c>
      <c r="I9" s="175" t="s">
        <v>424</v>
      </c>
      <c r="J9" s="124"/>
      <c r="K9" s="26"/>
      <c r="L9" s="18">
        <v>9200</v>
      </c>
    </row>
    <row r="10" spans="2:12">
      <c r="B10" s="54"/>
      <c r="C10" s="34"/>
      <c r="D10" s="34"/>
      <c r="E10" s="34"/>
      <c r="F10" s="34"/>
      <c r="G10" s="34"/>
      <c r="H10" s="71"/>
      <c r="I10" s="34"/>
      <c r="J10" s="124"/>
      <c r="K10" s="26"/>
    </row>
    <row r="11" spans="2:12">
      <c r="B11" s="54"/>
      <c r="C11" s="34"/>
      <c r="D11" s="34"/>
      <c r="E11" s="34"/>
      <c r="F11" s="34"/>
      <c r="G11" s="34"/>
      <c r="H11" s="34"/>
      <c r="I11" s="34"/>
      <c r="J11" s="124"/>
      <c r="K11" s="26"/>
    </row>
    <row r="12" spans="2:12">
      <c r="B12" s="54"/>
      <c r="C12" s="34"/>
      <c r="D12" s="34"/>
      <c r="E12" s="34"/>
      <c r="F12" s="34"/>
      <c r="G12" s="34"/>
      <c r="H12" s="34"/>
      <c r="I12" s="34"/>
      <c r="J12" s="124"/>
      <c r="K12" s="26"/>
    </row>
    <row r="13" spans="2:12" s="95" customFormat="1">
      <c r="B13" s="91"/>
      <c r="C13" s="92"/>
      <c r="D13" s="92"/>
      <c r="E13" s="92"/>
      <c r="F13" s="92"/>
      <c r="G13" s="92"/>
      <c r="H13" s="92"/>
      <c r="I13" s="92"/>
      <c r="J13" s="122"/>
      <c r="K13" s="94"/>
    </row>
    <row r="14" spans="2:12">
      <c r="B14" s="54"/>
      <c r="C14" s="34"/>
      <c r="D14" s="34"/>
      <c r="E14" s="34"/>
      <c r="F14" s="34"/>
      <c r="G14" s="34"/>
      <c r="H14" s="71"/>
      <c r="I14" s="34"/>
      <c r="J14" s="124"/>
      <c r="K14" s="26"/>
    </row>
    <row r="15" spans="2:12" s="95" customFormat="1">
      <c r="B15" s="91"/>
      <c r="C15" s="92"/>
      <c r="D15" s="92"/>
      <c r="E15" s="92"/>
      <c r="F15" s="92"/>
      <c r="G15" s="92"/>
      <c r="H15" s="93"/>
      <c r="I15" s="92"/>
      <c r="J15" s="122"/>
      <c r="K15" s="94"/>
    </row>
    <row r="16" spans="2:12" s="95" customFormat="1">
      <c r="B16" s="96"/>
      <c r="C16" s="97"/>
      <c r="D16" s="98"/>
      <c r="E16" s="97"/>
      <c r="F16" s="97"/>
      <c r="G16" s="97"/>
      <c r="H16" s="93"/>
      <c r="I16" s="97"/>
      <c r="J16" s="123"/>
      <c r="K16" s="94"/>
    </row>
    <row r="17" spans="2:11" s="95" customFormat="1">
      <c r="B17" s="96"/>
      <c r="C17" s="97"/>
      <c r="D17" s="97"/>
      <c r="E17" s="97"/>
      <c r="F17" s="97"/>
      <c r="G17" s="97"/>
      <c r="H17" s="93"/>
      <c r="I17" s="97"/>
      <c r="J17" s="123"/>
      <c r="K17" s="94"/>
    </row>
    <row r="18" spans="2:11">
      <c r="B18" s="54"/>
      <c r="C18" s="34"/>
      <c r="D18" s="90"/>
      <c r="E18" s="34"/>
      <c r="F18" s="34"/>
      <c r="G18" s="34"/>
      <c r="H18" s="34"/>
      <c r="I18" s="34"/>
      <c r="J18" s="124"/>
      <c r="K18" s="26"/>
    </row>
    <row r="19" spans="2:11">
      <c r="B19" s="54"/>
      <c r="C19" s="34"/>
      <c r="D19" s="90"/>
      <c r="E19" s="34"/>
      <c r="F19" s="34"/>
      <c r="G19" s="34"/>
      <c r="H19" s="34"/>
      <c r="I19" s="34"/>
      <c r="J19" s="124"/>
      <c r="K19" s="26"/>
    </row>
    <row r="20" spans="2:11" s="95" customFormat="1">
      <c r="B20" s="100"/>
      <c r="C20" s="101"/>
      <c r="D20" s="102"/>
      <c r="E20" s="101"/>
      <c r="F20" s="101"/>
      <c r="G20" s="101"/>
      <c r="H20" s="101"/>
      <c r="I20" s="101"/>
      <c r="J20" s="125"/>
      <c r="K20" s="103"/>
    </row>
    <row r="21" spans="2:11">
      <c r="B21" s="88"/>
      <c r="C21" s="89"/>
      <c r="D21" s="89"/>
      <c r="E21" s="89"/>
      <c r="F21" s="89"/>
      <c r="G21" s="89"/>
      <c r="H21" s="89"/>
      <c r="I21" s="89"/>
      <c r="J21" s="126"/>
      <c r="K21" s="87"/>
    </row>
    <row r="22" spans="2:11">
      <c r="B22" s="88"/>
      <c r="C22" s="89"/>
      <c r="D22" s="89"/>
      <c r="E22" s="89"/>
      <c r="F22" s="89"/>
      <c r="G22" s="89"/>
      <c r="H22" s="89"/>
      <c r="I22" s="89"/>
      <c r="J22" s="126"/>
      <c r="K22" s="87"/>
    </row>
    <row r="23" spans="2:11">
      <c r="B23" s="88"/>
      <c r="C23" s="89"/>
      <c r="D23" s="89"/>
      <c r="E23" s="89"/>
      <c r="F23" s="89"/>
      <c r="G23" s="89"/>
      <c r="H23" s="89"/>
      <c r="I23" s="89"/>
      <c r="J23" s="126"/>
      <c r="K23" s="87"/>
    </row>
    <row r="24" spans="2:11">
      <c r="B24" s="88"/>
      <c r="C24" s="89"/>
      <c r="D24" s="89"/>
      <c r="E24" s="89"/>
      <c r="F24" s="89"/>
      <c r="G24" s="89"/>
      <c r="H24" s="89"/>
      <c r="I24" s="89"/>
      <c r="J24" s="126"/>
      <c r="K24" s="87"/>
    </row>
    <row r="25" spans="2:11">
      <c r="B25" s="88"/>
      <c r="C25" s="89"/>
      <c r="D25" s="89"/>
      <c r="E25" s="89"/>
      <c r="F25" s="89"/>
      <c r="G25" s="89"/>
      <c r="H25" s="89"/>
      <c r="I25" s="89"/>
      <c r="J25" s="126"/>
      <c r="K25" s="87"/>
    </row>
    <row r="26" spans="2:11" ht="13.8" thickBot="1">
      <c r="B26" s="55"/>
      <c r="C26" s="56"/>
      <c r="D26" s="56"/>
      <c r="E26" s="56"/>
      <c r="F26" s="56"/>
      <c r="G26" s="56"/>
      <c r="H26" s="56"/>
      <c r="I26" s="56"/>
      <c r="J26" s="127"/>
      <c r="K26" s="29"/>
    </row>
  </sheetData>
  <phoneticPr fontId="4" type="noConversion"/>
  <pageMargins left="0.7" right="0.7" top="0.75" bottom="0.75" header="0.3" footer="0.3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EC56C-836B-454A-A34D-DD9D08245FFB}">
  <sheetPr>
    <tabColor rgb="FFFF0000"/>
  </sheetPr>
  <dimension ref="B1:D16"/>
  <sheetViews>
    <sheetView zoomScale="90" zoomScaleNormal="90" workbookViewId="0">
      <selection activeCell="D15" sqref="D15"/>
    </sheetView>
  </sheetViews>
  <sheetFormatPr defaultRowHeight="15"/>
  <cols>
    <col min="1" max="1" width="1.77734375" style="110" customWidth="1"/>
    <col min="2" max="2" width="7.33203125" style="110" customWidth="1"/>
    <col min="3" max="3" width="30.5546875" style="110" customWidth="1"/>
    <col min="4" max="4" width="50.109375" style="110" customWidth="1"/>
    <col min="5" max="16384" width="8.88671875" style="110"/>
  </cols>
  <sheetData>
    <row r="1" spans="2:4" ht="8.4" customHeight="1" thickBot="1"/>
    <row r="2" spans="2:4">
      <c r="B2" s="113" t="s">
        <v>189</v>
      </c>
      <c r="C2" s="114" t="s">
        <v>193</v>
      </c>
      <c r="D2" s="115" t="s">
        <v>190</v>
      </c>
    </row>
    <row r="3" spans="2:4">
      <c r="B3" s="119">
        <v>1</v>
      </c>
      <c r="C3" s="112" t="s">
        <v>181</v>
      </c>
      <c r="D3" s="116" t="s">
        <v>182</v>
      </c>
    </row>
    <row r="4" spans="2:4">
      <c r="B4" s="119">
        <v>2</v>
      </c>
      <c r="C4" s="112" t="s">
        <v>183</v>
      </c>
      <c r="D4" s="116" t="s">
        <v>184</v>
      </c>
    </row>
    <row r="5" spans="2:4">
      <c r="B5" s="119">
        <v>3</v>
      </c>
      <c r="C5" s="112" t="s">
        <v>198</v>
      </c>
      <c r="D5" s="116" t="s">
        <v>191</v>
      </c>
    </row>
    <row r="6" spans="2:4">
      <c r="B6" s="119">
        <v>4</v>
      </c>
      <c r="C6" s="112" t="s">
        <v>185</v>
      </c>
      <c r="D6" s="116" t="s">
        <v>186</v>
      </c>
    </row>
    <row r="7" spans="2:4" ht="15.6" thickBot="1">
      <c r="B7" s="120">
        <v>5</v>
      </c>
      <c r="C7" s="117" t="s">
        <v>187</v>
      </c>
      <c r="D7" s="118" t="s">
        <v>188</v>
      </c>
    </row>
    <row r="13" spans="2:4">
      <c r="C13" s="111"/>
      <c r="D13" s="111"/>
    </row>
    <row r="14" spans="2:4">
      <c r="C14" s="111"/>
      <c r="D14" s="111"/>
    </row>
    <row r="15" spans="2:4">
      <c r="C15" s="111"/>
      <c r="D15" s="111"/>
    </row>
    <row r="16" spans="2:4">
      <c r="C16" s="111"/>
      <c r="D16" s="11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看板</vt:lpstr>
      <vt:lpstr>项目基础信息</vt:lpstr>
      <vt:lpstr>银行函证进度</vt:lpstr>
      <vt:lpstr>底稿进度</vt:lpstr>
      <vt:lpstr>OS list及缺失PBC</vt:lpstr>
      <vt:lpstr>OS事项分类说明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小项目.xlsx</dc:title>
  <dc:subject/>
  <dc:creator>Taffy Tian</dc:creator>
  <cp:keywords/>
  <dc:description>55463E3B-3D81-4541-B88F-01F94D69DFE7</dc:description>
  <cp:lastModifiedBy>Taffy Tian</cp:lastModifiedBy>
  <cp:revision/>
  <dcterms:created xsi:type="dcterms:W3CDTF">2023-05-12T11:15:00Z</dcterms:created>
  <dcterms:modified xsi:type="dcterms:W3CDTF">2026-06-03T08:31:45Z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